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a1" sheetId="1" r:id="rId5"/>
    <sheet state="visible" name="problema2" sheetId="2" r:id="rId6"/>
  </sheets>
  <definedNames/>
  <calcPr/>
</workbook>
</file>

<file path=xl/sharedStrings.xml><?xml version="1.0" encoding="utf-8"?>
<sst xmlns="http://schemas.openxmlformats.org/spreadsheetml/2006/main" count="356" uniqueCount="212">
  <si>
    <t>PROBLEMA #1 – DISEÑO FACTORIAL COMPLETAMENTE ALEATORIZADO – QuantEdge Capital</t>
  </si>
  <si>
    <t>Variable respuesta: Sharpe Ratio mensual  (backtests 60 días BTC/ETH, 3 réplicas por celda)</t>
  </si>
  <si>
    <t>DATOS ORIGINALES</t>
  </si>
  <si>
    <t>B = Régimen de Volatilidad</t>
  </si>
  <si>
    <t>A = Estrategia de Trading Algorítmico</t>
  </si>
  <si>
    <t>A1: Market Making</t>
  </si>
  <si>
    <t>A2: Arb. Triangular</t>
  </si>
  <si>
    <t>A3: Momentum</t>
  </si>
  <si>
    <t>A4: Mean Reversion</t>
  </si>
  <si>
    <t>Baja</t>
  </si>
  <si>
    <t>Media</t>
  </si>
  <si>
    <t>Alta</t>
  </si>
  <si>
    <t>SOLUCIÓN</t>
  </si>
  <si>
    <t>Parámetros:</t>
  </si>
  <si>
    <t>a =</t>
  </si>
  <si>
    <t>b =</t>
  </si>
  <si>
    <t>n =</t>
  </si>
  <si>
    <t>HIPÓTESIS</t>
  </si>
  <si>
    <t>Factor A (Estrategia):</t>
  </si>
  <si>
    <t>Ho:</t>
  </si>
  <si>
    <t>μ1=μ2=μ3=μ4</t>
  </si>
  <si>
    <t>Ha:</t>
  </si>
  <si>
    <t>Al menos un μi≠μj  para algún i≠j</t>
  </si>
  <si>
    <t>Factor B (Régimen):</t>
  </si>
  <si>
    <t>μ1=μ2=μ3</t>
  </si>
  <si>
    <t>Interacción AxB:</t>
  </si>
  <si>
    <t>No existe interacción entre factores</t>
  </si>
  <si>
    <t>Sí existe interacción significativa entre estrategia y régimen</t>
  </si>
  <si>
    <t>Tabla de Subtotales Tij  (suma de las 3 réplicas por celda)</t>
  </si>
  <si>
    <t>A1: Mkt.Mkg</t>
  </si>
  <si>
    <t>A2: Arb.Tri.</t>
  </si>
  <si>
    <t>A4: Mean Rev.</t>
  </si>
  <si>
    <t>Total Ti..</t>
  </si>
  <si>
    <t>Promedio</t>
  </si>
  <si>
    <t>Total T.j</t>
  </si>
  <si>
    <t>Paso 1</t>
  </si>
  <si>
    <t>FC =</t>
  </si>
  <si>
    <t>G² / N =</t>
  </si>
  <si>
    <t>63,45² / 36 =</t>
  </si>
  <si>
    <t>Paso 2</t>
  </si>
  <si>
    <t>SCT =</t>
  </si>
  <si>
    <t>Σ(Yijk²) − FC =</t>
  </si>
  <si>
    <t>125,0841 − 111,8306 =</t>
  </si>
  <si>
    <t>Paso 3</t>
  </si>
  <si>
    <t>SC_B (Régimen) =</t>
  </si>
  <si>
    <t>[Σ(Ti..²) / (a·n)] − FC =</t>
  </si>
  <si>
    <t>1435,9725 / 12 − 111,8306 =</t>
  </si>
  <si>
    <t>Paso 4</t>
  </si>
  <si>
    <t>SC_A (Estrategia) =</t>
  </si>
  <si>
    <t>[Σ(T.j.²) / (b·n)] − FC =</t>
  </si>
  <si>
    <t>1053,7875 / 9 − 111,8306 =</t>
  </si>
  <si>
    <t>Paso 5</t>
  </si>
  <si>
    <t>SC_AxB =</t>
  </si>
  <si>
    <t>[Σ(Tij.²)/n] − FC − SC_A − SC_B =</t>
  </si>
  <si>
    <t>125,0625 − 111,8306 − 5,2569 − 7,8338 =</t>
  </si>
  <si>
    <t>Paso 5b</t>
  </si>
  <si>
    <t>SC_Error =</t>
  </si>
  <si>
    <t>SCT − SC_A − SC_B − SC_AxB =</t>
  </si>
  <si>
    <t>13,2535 − 5,2569 − 7,8338 − 0,1412 =</t>
  </si>
  <si>
    <t>Paso 6</t>
  </si>
  <si>
    <t>ANOVA</t>
  </si>
  <si>
    <t>Fuente de Variabilidad</t>
  </si>
  <si>
    <t>Suma de Cuadrados</t>
  </si>
  <si>
    <t>Grados de Libertad</t>
  </si>
  <si>
    <t>Cuadrado Medio</t>
  </si>
  <si>
    <t>Fc</t>
  </si>
  <si>
    <t>Ft (α=0,05)</t>
  </si>
  <si>
    <t>A: Estrategia</t>
  </si>
  <si>
    <t>B: Régimen</t>
  </si>
  <si>
    <t>Interacción AxB</t>
  </si>
  <si>
    <t>Error</t>
  </si>
  <si>
    <t>Total</t>
  </si>
  <si>
    <t>Fc &gt; Ft</t>
  </si>
  <si>
    <t>La ESTRATEGIA DE TRADING sí influye significativamente en el Sharpe Ratio mensual</t>
  </si>
  <si>
    <t>El RÉGIMEN DE VOLATILIDAD sí influye significativamente en el Sharpe Ratio mensual</t>
  </si>
  <si>
    <t>La INTERACCIÓN Estrategia×Régimen sí es significativa (el efecto de la estrategia depende del régimen)</t>
  </si>
  <si>
    <t>Paso 7</t>
  </si>
  <si>
    <t>PRUEBA DE TUKEY – Factor A: Estrategia de Trading</t>
  </si>
  <si>
    <t>CME =</t>
  </si>
  <si>
    <t>ni = b·n =</t>
  </si>
  <si>
    <t>GL_Error =</t>
  </si>
  <si>
    <t>q(0,05;4;24) =</t>
  </si>
  <si>
    <t>Talpha =</t>
  </si>
  <si>
    <t>Medias Estrategia (menor a mayor):</t>
  </si>
  <si>
    <t>Mkt.Making</t>
  </si>
  <si>
    <t>Momentum</t>
  </si>
  <si>
    <t>Arb.Triang</t>
  </si>
  <si>
    <t>Mean Rev.</t>
  </si>
  <si>
    <t>Comparacion</t>
  </si>
  <si>
    <t>Diferencia</t>
  </si>
  <si>
    <t>Talpha</t>
  </si>
  <si>
    <t>Decision</t>
  </si>
  <si>
    <t>Mean Rev. – Mkt.Making</t>
  </si>
  <si>
    <t>SI – significativa</t>
  </si>
  <si>
    <t>Mean Rev. – Momentum</t>
  </si>
  <si>
    <t>Mean Rev. – Arb.Triang</t>
  </si>
  <si>
    <t>Arb.Triang – Mkt.Making</t>
  </si>
  <si>
    <t>Arb.Triang – Momentum</t>
  </si>
  <si>
    <t>Momentum – Mkt.Making</t>
  </si>
  <si>
    <t>CONCLUSIÓN A:</t>
  </si>
  <si>
    <t>Todas las estrategias difieren significativamente entre sí (los 6 pares son significativos)</t>
  </si>
  <si>
    <t>Orden (mayor a menor Sharpe): Mean Reversion &gt; Arb. Triangular &gt; Momentum &gt; Market Making</t>
  </si>
  <si>
    <t>Paso 8</t>
  </si>
  <si>
    <t>PRUEBA DE TUKEY – Factor B: Régimen de Volatilidad</t>
  </si>
  <si>
    <t>ni = a·n =</t>
  </si>
  <si>
    <t>q(0,05;3;24) =</t>
  </si>
  <si>
    <t>Medias Régimen (menor a mayor):</t>
  </si>
  <si>
    <t>Alta – Baja</t>
  </si>
  <si>
    <t>Alta – Media</t>
  </si>
  <si>
    <t>Media – Baja</t>
  </si>
  <si>
    <t>CONCLUSIÓN B:</t>
  </si>
  <si>
    <t>Todos los regímenes difieren significativamente entre sí (los 3 pares son significativos)</t>
  </si>
  <si>
    <t>Orden: Alta &gt; Media &gt; Baja  →  Mayor volatilidad del mercado genera mayor Sharpe Ratio</t>
  </si>
  <si>
    <t>TABLA PARA MINITAB — Modelo Lineal General (Factorial 2 factores)</t>
  </si>
  <si>
    <t>Ruta: Estadísticas &gt; ANOVA &gt; Modelo lineal general &gt; Ajustar modelo lineal general</t>
  </si>
  <si>
    <t>Respuesta: Y  |  Factores: Estrategia (texto), Regimen (numérico: Baja=1, Media=2, Alta=3)</t>
  </si>
  <si>
    <t>PASO CLAVE: Modelo... → seleccionar Estrategia y Regimen con Ctrl → Interacciones hasta el orden: 2 → Agregar → verificar Estrategia, Regimen y Estrategia*Regimen → Aceptar → Aceptar</t>
  </si>
  <si>
    <t>Estrategia</t>
  </si>
  <si>
    <t>Regimen</t>
  </si>
  <si>
    <t>Y</t>
  </si>
  <si>
    <t>Market Making</t>
  </si>
  <si>
    <t>Arb. Triangular</t>
  </si>
  <si>
    <t>Mean Reversion</t>
  </si>
  <si>
    <t>PROBLEMA #2 - CUADRADO LATINO 4×4 - GreenBuild Smart Towers</t>
  </si>
  <si>
    <t>Variable respuesta: Ahorro Energético (%) de sistemas de gestión energética domótica</t>
  </si>
  <si>
    <t>Estación del Año</t>
  </si>
  <si>
    <t>Zona</t>
  </si>
  <si>
    <t>Verano</t>
  </si>
  <si>
    <t>Otoño</t>
  </si>
  <si>
    <t>Invierno</t>
  </si>
  <si>
    <t>Primavera</t>
  </si>
  <si>
    <t>Norte</t>
  </si>
  <si>
    <t>A=12,03</t>
  </si>
  <si>
    <t>B=16,07</t>
  </si>
  <si>
    <t>C=20,76</t>
  </si>
  <si>
    <t>D=14,21</t>
  </si>
  <si>
    <t>Sur</t>
  </si>
  <si>
    <t>B=17,34</t>
  </si>
  <si>
    <t>C=20,59</t>
  </si>
  <si>
    <t>D=15,48</t>
  </si>
  <si>
    <t>A=13,03</t>
  </si>
  <si>
    <t>Este</t>
  </si>
  <si>
    <t>C=19,70</t>
  </si>
  <si>
    <t>D=13,08</t>
  </si>
  <si>
    <t>A=12,07</t>
  </si>
  <si>
    <t>B=16,24</t>
  </si>
  <si>
    <t>Oeste</t>
  </si>
  <si>
    <t>D=14,29</t>
  </si>
  <si>
    <t>A=11,83</t>
  </si>
  <si>
    <t>B=17,38</t>
  </si>
  <si>
    <t>C=20,74</t>
  </si>
  <si>
    <t>p =</t>
  </si>
  <si>
    <t>N = p² =</t>
  </si>
  <si>
    <t>Zona (Filas):</t>
  </si>
  <si>
    <t>μN=μS=μE=μO</t>
  </si>
  <si>
    <t>Estación (Columnas):</t>
  </si>
  <si>
    <t>μV=μAt=μIn=μP</t>
  </si>
  <si>
    <t>Sistema (Trat.):</t>
  </si>
  <si>
    <t>μA=μB=μC=μD</t>
  </si>
  <si>
    <t>Tabla de Subtotales</t>
  </si>
  <si>
    <t>Ti. (Zona)</t>
  </si>
  <si>
    <t>T.j (Estación)</t>
  </si>
  <si>
    <t>G (total)</t>
  </si>
  <si>
    <t>Totales por Sistema (Tratamiento)</t>
  </si>
  <si>
    <t>Sistema</t>
  </si>
  <si>
    <t>A</t>
  </si>
  <si>
    <t>B</t>
  </si>
  <si>
    <t>C</t>
  </si>
  <si>
    <t>D</t>
  </si>
  <si>
    <t>Total Tk</t>
  </si>
  <si>
    <t>Media Ȳk</t>
  </si>
  <si>
    <t>254,84² / 16 =</t>
  </si>
  <si>
    <t>Σ(Yij²) − FC =</t>
  </si>
  <si>
    <t>4214,8664 − 4058,9641 =</t>
  </si>
  <si>
    <t>SC_Zona =</t>
  </si>
  <si>
    <t>[Σ(Ti.²)/p] − FC =</t>
  </si>
  <si>
    <t>16250,8642 / 4 − 4058,9641 =</t>
  </si>
  <si>
    <t>SC_Estación =</t>
  </si>
  <si>
    <t>[Σ(T.j²)/p] − FC =</t>
  </si>
  <si>
    <t>16244,7390 / 4 − 4058,9641 =</t>
  </si>
  <si>
    <t>SC_Sistema =</t>
  </si>
  <si>
    <t>[Σ(Tk²)/p] − FC =</t>
  </si>
  <si>
    <t>16835,5502 / 4 − 4058,9641 =</t>
  </si>
  <si>
    <t>SCT − SC_Z − SC_Est − SC_S =</t>
  </si>
  <si>
    <t>155,9023 − 3,7520 − 2,2207 − 149,9235 =</t>
  </si>
  <si>
    <t>Estación</t>
  </si>
  <si>
    <t>La Zona del edificio SÍ influye significativamente en el Ahorro Energético</t>
  </si>
  <si>
    <t>La Estación del año SÍ influye significativamente en el Ahorro Energético</t>
  </si>
  <si>
    <t>El Sistema de gestión SÍ influye significativamente en el Ahorro Energético</t>
  </si>
  <si>
    <t>PRUEBA DE TUKEY - Sistema (Fc &gt; Ft  →  significativo)</t>
  </si>
  <si>
    <t>ni = p =</t>
  </si>
  <si>
    <t>q(0,05; 4; 6) =</t>
  </si>
  <si>
    <t>T_alpha =</t>
  </si>
  <si>
    <t>Medias por Sistema (ordenadas de menor a mayor):</t>
  </si>
  <si>
    <t>Comparación</t>
  </si>
  <si>
    <t>T_alpha</t>
  </si>
  <si>
    <t>Decisión</t>
  </si>
  <si>
    <t>C − A</t>
  </si>
  <si>
    <t>SI - significativa</t>
  </si>
  <si>
    <t>C − D</t>
  </si>
  <si>
    <t>C − B</t>
  </si>
  <si>
    <t>B − A</t>
  </si>
  <si>
    <t>B − D</t>
  </si>
  <si>
    <t>D − A</t>
  </si>
  <si>
    <t>CONCLUSIÓN:</t>
  </si>
  <si>
    <t>Sistema C (Digital Twin cloud) tiene el mayor Ahorro Energético (media=20,4475%)</t>
  </si>
  <si>
    <t>Sistema C difiere significativamente de todos los demás sistemas (A, B y D)</t>
  </si>
  <si>
    <t>Sistema A (Termostato básico, media=12,24%) tiene el menor ahorro energético</t>
  </si>
  <si>
    <t>TABLA PARA MINITAB — Modelo Lineal General (CL estándar)</t>
  </si>
  <si>
    <t>Respuesta: AhorroEnergetico  |  Factores: Sistema  Zona  Estacion</t>
  </si>
  <si>
    <t>Estacion</t>
  </si>
  <si>
    <t>AhorroEnergetico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</si>
</sst>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rgb="FFCC0000"/>
      <name val="Arial"/>
      <scheme val="minor"/>
    </font>
    <font>
      <b/>
      <color rgb="FF196619"/>
      <name val="Arial"/>
      <scheme val="minor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8FB9DC"/>
        <bgColor rgb="FF8FB9DC"/>
      </patternFill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  <fill>
      <patternFill patternType="solid">
        <fgColor rgb="FFC6EFCE"/>
        <bgColor rgb="FFC6EFCE"/>
      </patternFill>
    </fill>
    <fill>
      <patternFill patternType="solid">
        <fgColor rgb="FFFDF2DA"/>
        <bgColor rgb="FFFDF2DA"/>
      </patternFill>
    </fill>
    <fill>
      <patternFill patternType="solid">
        <fgColor rgb="FFEAECEE"/>
        <bgColor rgb="FFEAECEE"/>
      </patternFill>
    </fill>
    <fill>
      <patternFill patternType="solid">
        <fgColor rgb="FFFFC8C8"/>
        <bgColor rgb="FFFFC8C8"/>
      </patternFill>
    </fill>
  </fills>
  <borders count="2">
    <border/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1" fillId="3" fontId="2" numFmtId="0" xfId="0" applyBorder="1" applyFont="1"/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1" fillId="0" fontId="4" numFmtId="0" xfId="0" applyAlignment="1" applyBorder="1" applyFont="1">
      <alignment readingOrder="0"/>
    </xf>
    <xf borderId="1" fillId="0" fontId="2" numFmtId="0" xfId="0" applyBorder="1" applyFont="1"/>
    <xf borderId="0" fillId="4" fontId="2" numFmtId="0" xfId="0" applyAlignment="1" applyFill="1" applyFont="1">
      <alignment readingOrder="0"/>
    </xf>
    <xf borderId="1" fillId="5" fontId="4" numFmtId="0" xfId="0" applyBorder="1" applyFill="1" applyFont="1"/>
    <xf borderId="1" fillId="5" fontId="4" numFmtId="0" xfId="0" applyAlignment="1" applyBorder="1" applyFont="1">
      <alignment readingOrder="0"/>
    </xf>
    <xf borderId="1" fillId="6" fontId="4" numFmtId="0" xfId="0" applyBorder="1" applyFill="1" applyFont="1"/>
    <xf borderId="1" fillId="6" fontId="4" numFmtId="0" xfId="0" applyAlignment="1" applyBorder="1" applyFont="1">
      <alignment readingOrder="0"/>
    </xf>
    <xf borderId="1" fillId="7" fontId="4" numFmtId="0" xfId="0" applyBorder="1" applyFill="1" applyFont="1"/>
    <xf borderId="1" fillId="7" fontId="4" numFmtId="0" xfId="0" applyAlignment="1" applyBorder="1" applyFont="1">
      <alignment readingOrder="0"/>
    </xf>
    <xf borderId="0" fillId="0" fontId="5" numFmtId="0" xfId="0" applyFont="1"/>
    <xf borderId="0" fillId="8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5" fontId="6" numFmtId="0" xfId="0" applyBorder="1" applyFont="1"/>
    <xf borderId="1" fillId="5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4"/>
      <c r="C2" s="4"/>
      <c r="D2" s="4"/>
      <c r="E2" s="4"/>
      <c r="F2" s="4"/>
      <c r="G2" s="4"/>
      <c r="H2" s="4"/>
    </row>
    <row r="4">
      <c r="A4" s="5" t="s">
        <v>2</v>
      </c>
      <c r="B4" s="6"/>
      <c r="C4" s="6"/>
      <c r="D4" s="6"/>
      <c r="E4" s="6"/>
      <c r="F4" s="6"/>
      <c r="G4" s="6"/>
      <c r="H4" s="6"/>
    </row>
    <row r="5">
      <c r="A5" s="7" t="s">
        <v>3</v>
      </c>
      <c r="B5" s="8"/>
      <c r="C5" s="7" t="s">
        <v>4</v>
      </c>
      <c r="D5" s="8"/>
      <c r="E5" s="8"/>
      <c r="F5" s="8"/>
      <c r="G5" s="8"/>
      <c r="H5" s="8"/>
    </row>
    <row r="6">
      <c r="A6" s="9"/>
      <c r="B6" s="9"/>
      <c r="C6" s="10" t="s">
        <v>5</v>
      </c>
      <c r="D6" s="10" t="s">
        <v>6</v>
      </c>
      <c r="E6" s="10" t="s">
        <v>7</v>
      </c>
      <c r="F6" s="10" t="s">
        <v>8</v>
      </c>
      <c r="G6" s="8"/>
      <c r="H6" s="8"/>
    </row>
    <row r="7">
      <c r="A7" s="11" t="s">
        <v>9</v>
      </c>
      <c r="B7" s="12"/>
      <c r="C7" s="13">
        <v>0.77</v>
      </c>
      <c r="D7" s="13">
        <v>1.32</v>
      </c>
      <c r="E7" s="13">
        <v>1.07</v>
      </c>
      <c r="F7" s="13">
        <v>1.62</v>
      </c>
    </row>
    <row r="8">
      <c r="A8" s="12"/>
      <c r="B8" s="12"/>
      <c r="C8" s="13">
        <v>0.8</v>
      </c>
      <c r="D8" s="13">
        <v>1.35</v>
      </c>
      <c r="E8" s="13">
        <v>1.1</v>
      </c>
      <c r="F8" s="13">
        <v>1.65</v>
      </c>
    </row>
    <row r="9">
      <c r="A9" s="12"/>
      <c r="B9" s="12"/>
      <c r="C9" s="13">
        <v>0.83</v>
      </c>
      <c r="D9" s="13">
        <v>1.38</v>
      </c>
      <c r="E9" s="13">
        <v>1.13</v>
      </c>
      <c r="F9" s="13">
        <v>1.68</v>
      </c>
    </row>
    <row r="10">
      <c r="A10" s="11" t="s">
        <v>10</v>
      </c>
      <c r="B10" s="12"/>
      <c r="C10" s="13">
        <v>1.17</v>
      </c>
      <c r="D10" s="13">
        <v>1.82</v>
      </c>
      <c r="E10" s="13">
        <v>1.52</v>
      </c>
      <c r="F10" s="13">
        <v>2.17</v>
      </c>
    </row>
    <row r="11">
      <c r="A11" s="12"/>
      <c r="B11" s="12"/>
      <c r="C11" s="13">
        <v>1.2</v>
      </c>
      <c r="D11" s="13">
        <v>1.85</v>
      </c>
      <c r="E11" s="13">
        <v>1.55</v>
      </c>
      <c r="F11" s="13">
        <v>2.2</v>
      </c>
    </row>
    <row r="12">
      <c r="A12" s="12"/>
      <c r="B12" s="12"/>
      <c r="C12" s="13">
        <v>1.23</v>
      </c>
      <c r="D12" s="13">
        <v>1.88</v>
      </c>
      <c r="E12" s="13">
        <v>1.58</v>
      </c>
      <c r="F12" s="13">
        <v>2.23</v>
      </c>
    </row>
    <row r="13">
      <c r="A13" s="11" t="s">
        <v>11</v>
      </c>
      <c r="B13" s="12"/>
      <c r="C13" s="13">
        <v>1.72</v>
      </c>
      <c r="D13" s="13">
        <v>2.52</v>
      </c>
      <c r="E13" s="13">
        <v>2.12</v>
      </c>
      <c r="F13" s="13">
        <v>2.97</v>
      </c>
    </row>
    <row r="14">
      <c r="A14" s="12"/>
      <c r="B14" s="12"/>
      <c r="C14" s="13">
        <v>1.75</v>
      </c>
      <c r="D14" s="13">
        <v>2.55</v>
      </c>
      <c r="E14" s="13">
        <v>2.15</v>
      </c>
      <c r="F14" s="13">
        <v>3.0</v>
      </c>
    </row>
    <row r="15">
      <c r="A15" s="12"/>
      <c r="B15" s="12"/>
      <c r="C15" s="13">
        <v>1.78</v>
      </c>
      <c r="D15" s="13">
        <v>2.58</v>
      </c>
      <c r="E15" s="13">
        <v>2.18</v>
      </c>
      <c r="F15" s="13">
        <v>3.03</v>
      </c>
    </row>
    <row r="17">
      <c r="A17" s="5" t="s">
        <v>12</v>
      </c>
      <c r="B17" s="6"/>
      <c r="C17" s="6"/>
      <c r="D17" s="6"/>
      <c r="E17" s="6"/>
      <c r="F17" s="6"/>
      <c r="G17" s="6"/>
      <c r="H17" s="6"/>
    </row>
    <row r="19">
      <c r="A19" s="14" t="s">
        <v>13</v>
      </c>
      <c r="B19" s="14" t="s">
        <v>14</v>
      </c>
      <c r="C19" s="15">
        <v>4.0</v>
      </c>
      <c r="E19" s="14" t="s">
        <v>15</v>
      </c>
      <c r="F19" s="15">
        <v>3.0</v>
      </c>
      <c r="H19" s="14" t="s">
        <v>16</v>
      </c>
      <c r="I19" s="15"/>
      <c r="K19" s="14"/>
      <c r="L19" s="15"/>
    </row>
    <row r="21">
      <c r="A21" s="5" t="s">
        <v>17</v>
      </c>
      <c r="B21" s="6"/>
      <c r="C21" s="6"/>
      <c r="D21" s="6"/>
      <c r="E21" s="6"/>
      <c r="F21" s="6"/>
      <c r="G21" s="6"/>
      <c r="H21" s="6"/>
    </row>
    <row r="22">
      <c r="A22" s="3" t="s">
        <v>18</v>
      </c>
      <c r="B22" s="14" t="s">
        <v>19</v>
      </c>
      <c r="C22" s="14" t="s">
        <v>20</v>
      </c>
      <c r="E22" s="14" t="s">
        <v>21</v>
      </c>
      <c r="F22" s="14" t="s">
        <v>22</v>
      </c>
    </row>
    <row r="23">
      <c r="A23" s="3" t="s">
        <v>23</v>
      </c>
      <c r="B23" s="14" t="s">
        <v>19</v>
      </c>
      <c r="C23" s="14" t="s">
        <v>24</v>
      </c>
      <c r="E23" s="14" t="s">
        <v>21</v>
      </c>
      <c r="F23" s="14" t="s">
        <v>22</v>
      </c>
    </row>
    <row r="24">
      <c r="A24" s="3" t="s">
        <v>25</v>
      </c>
      <c r="B24" s="14" t="s">
        <v>19</v>
      </c>
      <c r="C24" s="14" t="s">
        <v>26</v>
      </c>
      <c r="E24" s="14" t="s">
        <v>21</v>
      </c>
      <c r="F24" s="14" t="s">
        <v>27</v>
      </c>
    </row>
    <row r="26">
      <c r="A26" s="16" t="s">
        <v>28</v>
      </c>
      <c r="B26" s="17"/>
      <c r="C26" s="17"/>
      <c r="D26" s="17"/>
      <c r="E26" s="17"/>
      <c r="F26" s="17"/>
      <c r="G26" s="17"/>
      <c r="H26" s="17"/>
      <c r="I26" s="17"/>
    </row>
    <row r="27">
      <c r="A27" s="9"/>
      <c r="B27" s="9"/>
      <c r="C27" s="10" t="s">
        <v>29</v>
      </c>
      <c r="D27" s="10" t="s">
        <v>30</v>
      </c>
      <c r="E27" s="10" t="s">
        <v>7</v>
      </c>
      <c r="F27" s="10" t="s">
        <v>31</v>
      </c>
      <c r="G27" s="10" t="s">
        <v>32</v>
      </c>
      <c r="H27" s="10" t="s">
        <v>33</v>
      </c>
      <c r="I27" s="9"/>
    </row>
    <row r="28">
      <c r="A28" s="11" t="s">
        <v>9</v>
      </c>
      <c r="B28" s="12"/>
      <c r="C28" s="18">
        <v>2.4</v>
      </c>
      <c r="D28" s="18">
        <v>4.05</v>
      </c>
      <c r="E28" s="18">
        <v>3.3</v>
      </c>
      <c r="F28" s="18">
        <v>4.95</v>
      </c>
      <c r="G28" s="18">
        <v>14.7</v>
      </c>
      <c r="H28" s="18">
        <v>1.225</v>
      </c>
      <c r="I28" s="12"/>
    </row>
    <row r="29">
      <c r="A29" s="11" t="s">
        <v>10</v>
      </c>
      <c r="B29" s="12"/>
      <c r="C29" s="18">
        <v>3.6</v>
      </c>
      <c r="D29" s="18">
        <v>5.55</v>
      </c>
      <c r="E29" s="18">
        <v>4.65</v>
      </c>
      <c r="F29" s="18">
        <v>6.6</v>
      </c>
      <c r="G29" s="18">
        <v>20.4</v>
      </c>
      <c r="H29" s="18">
        <v>1.7</v>
      </c>
      <c r="I29" s="12"/>
    </row>
    <row r="30">
      <c r="A30" s="11" t="s">
        <v>11</v>
      </c>
      <c r="B30" s="12"/>
      <c r="C30" s="18">
        <v>5.25</v>
      </c>
      <c r="D30" s="18">
        <v>7.65</v>
      </c>
      <c r="E30" s="18">
        <v>6.45</v>
      </c>
      <c r="F30" s="18">
        <v>9.0</v>
      </c>
      <c r="G30" s="18">
        <v>28.35</v>
      </c>
      <c r="H30" s="18">
        <v>2.3625</v>
      </c>
      <c r="I30" s="12"/>
    </row>
    <row r="31">
      <c r="A31" s="10" t="s">
        <v>34</v>
      </c>
      <c r="B31" s="9"/>
      <c r="C31" s="10">
        <v>11.25</v>
      </c>
      <c r="D31" s="10">
        <v>17.25</v>
      </c>
      <c r="E31" s="10">
        <v>14.4</v>
      </c>
      <c r="F31" s="10">
        <v>20.55</v>
      </c>
      <c r="G31" s="10">
        <v>63.45</v>
      </c>
      <c r="H31" s="9"/>
      <c r="I31" s="9"/>
    </row>
    <row r="32">
      <c r="A32" s="11" t="s">
        <v>33</v>
      </c>
      <c r="B32" s="19"/>
      <c r="C32" s="11">
        <v>1.25</v>
      </c>
      <c r="D32" s="11">
        <v>1.9167</v>
      </c>
      <c r="E32" s="11">
        <v>1.6</v>
      </c>
      <c r="F32" s="11">
        <v>2.2833</v>
      </c>
      <c r="G32" s="19"/>
      <c r="H32" s="19"/>
      <c r="I32" s="19"/>
    </row>
    <row r="34">
      <c r="A34" s="3" t="s">
        <v>35</v>
      </c>
      <c r="B34" s="14" t="s">
        <v>36</v>
      </c>
      <c r="C34" s="14" t="s">
        <v>37</v>
      </c>
      <c r="D34" s="14" t="s">
        <v>38</v>
      </c>
      <c r="E34" s="20">
        <v>111.8306</v>
      </c>
    </row>
    <row r="36">
      <c r="A36" s="3" t="s">
        <v>39</v>
      </c>
      <c r="B36" s="14" t="s">
        <v>40</v>
      </c>
      <c r="C36" s="14" t="s">
        <v>41</v>
      </c>
      <c r="D36" s="14" t="s">
        <v>42</v>
      </c>
      <c r="E36" s="20">
        <v>13.2535</v>
      </c>
    </row>
    <row r="38">
      <c r="A38" s="3" t="s">
        <v>43</v>
      </c>
      <c r="B38" s="14" t="s">
        <v>44</v>
      </c>
      <c r="C38" s="14" t="s">
        <v>45</v>
      </c>
      <c r="D38" s="14" t="s">
        <v>46</v>
      </c>
      <c r="E38" s="20">
        <v>7.8338</v>
      </c>
    </row>
    <row r="40">
      <c r="A40" s="3" t="s">
        <v>47</v>
      </c>
      <c r="B40" s="14" t="s">
        <v>48</v>
      </c>
      <c r="C40" s="14" t="s">
        <v>49</v>
      </c>
      <c r="D40" s="14" t="s">
        <v>50</v>
      </c>
      <c r="E40" s="20">
        <v>5.2569</v>
      </c>
    </row>
    <row r="42">
      <c r="A42" s="3" t="s">
        <v>51</v>
      </c>
      <c r="B42" s="14" t="s">
        <v>52</v>
      </c>
      <c r="C42" s="14" t="s">
        <v>53</v>
      </c>
      <c r="D42" s="14" t="s">
        <v>54</v>
      </c>
      <c r="E42" s="20">
        <v>0.1412</v>
      </c>
    </row>
    <row r="44">
      <c r="A44" s="3" t="s">
        <v>55</v>
      </c>
      <c r="B44" s="14" t="s">
        <v>56</v>
      </c>
      <c r="C44" s="14" t="s">
        <v>57</v>
      </c>
      <c r="D44" s="14" t="s">
        <v>58</v>
      </c>
      <c r="E44" s="20">
        <v>0.0216</v>
      </c>
    </row>
    <row r="46">
      <c r="A46" s="5" t="s">
        <v>59</v>
      </c>
      <c r="B46" s="5" t="s">
        <v>60</v>
      </c>
      <c r="C46" s="6"/>
      <c r="D46" s="6"/>
      <c r="E46" s="6"/>
      <c r="F46" s="6"/>
      <c r="G46" s="6"/>
      <c r="H46" s="6"/>
    </row>
    <row r="47">
      <c r="A47" s="9"/>
      <c r="B47" s="10" t="s">
        <v>61</v>
      </c>
      <c r="C47" s="10" t="s">
        <v>62</v>
      </c>
      <c r="D47" s="10" t="s">
        <v>63</v>
      </c>
      <c r="E47" s="10" t="s">
        <v>64</v>
      </c>
      <c r="F47" s="10" t="s">
        <v>65</v>
      </c>
      <c r="G47" s="10" t="s">
        <v>66</v>
      </c>
      <c r="H47" s="9"/>
    </row>
    <row r="48">
      <c r="A48" s="21"/>
      <c r="B48" s="22" t="s">
        <v>67</v>
      </c>
      <c r="C48" s="22">
        <v>5.2569</v>
      </c>
      <c r="D48" s="22">
        <v>3.0</v>
      </c>
      <c r="E48" s="22">
        <v>1.7523</v>
      </c>
      <c r="F48" s="22">
        <v>1946.9907</v>
      </c>
      <c r="G48" s="21">
        <f>_xlfn.F.INV.RT(0.05,3,24)</f>
        <v>3.00878657</v>
      </c>
      <c r="H48" s="21"/>
    </row>
    <row r="49">
      <c r="A49" s="21"/>
      <c r="B49" s="22" t="s">
        <v>68</v>
      </c>
      <c r="C49" s="22">
        <v>7.8338</v>
      </c>
      <c r="D49" s="22">
        <v>2.0</v>
      </c>
      <c r="E49" s="22">
        <v>3.9169</v>
      </c>
      <c r="F49" s="22">
        <v>4352.0833</v>
      </c>
      <c r="G49" s="21">
        <f>_xlfn.F.INV.RT(0.05,2,24)</f>
        <v>3.402826105</v>
      </c>
      <c r="H49" s="21"/>
    </row>
    <row r="50">
      <c r="A50" s="21"/>
      <c r="B50" s="22" t="s">
        <v>69</v>
      </c>
      <c r="C50" s="22">
        <v>0.1412</v>
      </c>
      <c r="D50" s="22">
        <v>6.0</v>
      </c>
      <c r="E50" s="22">
        <v>0.0235</v>
      </c>
      <c r="F50" s="22">
        <v>26.1574</v>
      </c>
      <c r="G50" s="21">
        <f>_xlfn.F.INV.RT(0.05,6,24)</f>
        <v>2.508188823</v>
      </c>
      <c r="H50" s="21"/>
    </row>
    <row r="51">
      <c r="A51" s="23"/>
      <c r="B51" s="24" t="s">
        <v>70</v>
      </c>
      <c r="C51" s="24">
        <v>0.0216</v>
      </c>
      <c r="D51" s="24">
        <v>24.0</v>
      </c>
      <c r="E51" s="24">
        <v>9.0E-4</v>
      </c>
      <c r="F51" s="23"/>
      <c r="G51" s="23"/>
      <c r="H51" s="23"/>
    </row>
    <row r="52">
      <c r="A52" s="25"/>
      <c r="B52" s="26" t="s">
        <v>71</v>
      </c>
      <c r="C52" s="26">
        <v>13.2535</v>
      </c>
      <c r="D52" s="26">
        <v>35.0</v>
      </c>
      <c r="E52" s="25"/>
      <c r="F52" s="25"/>
      <c r="G52" s="25"/>
      <c r="H52" s="25"/>
    </row>
    <row r="54">
      <c r="A54" s="27"/>
      <c r="B54" s="28" t="s">
        <v>72</v>
      </c>
      <c r="C54" s="29" t="s">
        <v>73</v>
      </c>
      <c r="D54" s="27"/>
    </row>
    <row r="55">
      <c r="A55" s="27"/>
      <c r="B55" s="28" t="s">
        <v>72</v>
      </c>
      <c r="C55" s="29" t="s">
        <v>74</v>
      </c>
      <c r="D55" s="27"/>
    </row>
    <row r="56">
      <c r="A56" s="27"/>
      <c r="B56" s="28" t="s">
        <v>72</v>
      </c>
      <c r="C56" s="29" t="s">
        <v>75</v>
      </c>
      <c r="D56" s="27"/>
    </row>
    <row r="58">
      <c r="A58" s="5" t="s">
        <v>76</v>
      </c>
      <c r="B58" s="5" t="s">
        <v>77</v>
      </c>
      <c r="C58" s="6"/>
      <c r="D58" s="6"/>
      <c r="E58" s="6"/>
      <c r="F58" s="6"/>
      <c r="G58" s="6"/>
      <c r="H58" s="6"/>
    </row>
    <row r="59">
      <c r="B59" s="3" t="s">
        <v>78</v>
      </c>
      <c r="C59" s="14">
        <v>9.0E-4</v>
      </c>
      <c r="E59" s="14" t="s">
        <v>79</v>
      </c>
      <c r="F59" s="14">
        <v>9.0</v>
      </c>
      <c r="H59" s="14" t="s">
        <v>80</v>
      </c>
      <c r="I59" s="14"/>
    </row>
    <row r="60">
      <c r="B60" s="3" t="s">
        <v>81</v>
      </c>
      <c r="C60" s="14">
        <v>3.9013</v>
      </c>
      <c r="E60" s="14" t="s">
        <v>82</v>
      </c>
      <c r="F60" s="14">
        <v>0.039</v>
      </c>
    </row>
    <row r="62">
      <c r="A62" s="8"/>
      <c r="B62" s="7" t="s">
        <v>83</v>
      </c>
      <c r="C62" s="7" t="s">
        <v>84</v>
      </c>
      <c r="D62" s="7" t="s">
        <v>85</v>
      </c>
      <c r="E62" s="7" t="s">
        <v>86</v>
      </c>
      <c r="F62" s="7" t="s">
        <v>87</v>
      </c>
      <c r="G62" s="8"/>
      <c r="H62" s="8"/>
    </row>
    <row r="63">
      <c r="C63" s="20">
        <v>1.25</v>
      </c>
      <c r="D63" s="20">
        <v>1.6</v>
      </c>
      <c r="E63" s="20">
        <v>1.9167</v>
      </c>
      <c r="F63" s="20">
        <v>2.2833</v>
      </c>
    </row>
    <row r="65">
      <c r="A65" s="9"/>
      <c r="B65" s="10" t="s">
        <v>88</v>
      </c>
      <c r="C65" s="10" t="s">
        <v>89</v>
      </c>
      <c r="D65" s="10" t="s">
        <v>90</v>
      </c>
      <c r="E65" s="10" t="s">
        <v>91</v>
      </c>
      <c r="F65" s="9"/>
    </row>
    <row r="66">
      <c r="A66" s="30"/>
      <c r="B66" s="31" t="s">
        <v>92</v>
      </c>
      <c r="C66" s="31">
        <v>1.0333</v>
      </c>
      <c r="D66" s="31">
        <v>0.039</v>
      </c>
      <c r="E66" s="31" t="s">
        <v>93</v>
      </c>
      <c r="F66" s="30"/>
    </row>
    <row r="67">
      <c r="A67" s="30"/>
      <c r="B67" s="31" t="s">
        <v>94</v>
      </c>
      <c r="C67" s="31">
        <v>0.6833</v>
      </c>
      <c r="D67" s="31">
        <v>0.039</v>
      </c>
      <c r="E67" s="31" t="s">
        <v>93</v>
      </c>
      <c r="F67" s="30"/>
    </row>
    <row r="68">
      <c r="A68" s="30"/>
      <c r="B68" s="31" t="s">
        <v>95</v>
      </c>
      <c r="C68" s="31">
        <v>0.3667</v>
      </c>
      <c r="D68" s="31">
        <v>0.039</v>
      </c>
      <c r="E68" s="31" t="s">
        <v>93</v>
      </c>
      <c r="F68" s="30"/>
    </row>
    <row r="69">
      <c r="A69" s="30"/>
      <c r="B69" s="31" t="s">
        <v>96</v>
      </c>
      <c r="C69" s="31">
        <v>0.6667</v>
      </c>
      <c r="D69" s="31">
        <v>0.039</v>
      </c>
      <c r="E69" s="31" t="s">
        <v>93</v>
      </c>
      <c r="F69" s="30"/>
    </row>
    <row r="70">
      <c r="A70" s="30"/>
      <c r="B70" s="31" t="s">
        <v>97</v>
      </c>
      <c r="C70" s="31">
        <v>0.3167</v>
      </c>
      <c r="D70" s="31">
        <v>0.039</v>
      </c>
      <c r="E70" s="31" t="s">
        <v>93</v>
      </c>
      <c r="F70" s="30"/>
    </row>
    <row r="71">
      <c r="A71" s="30"/>
      <c r="B71" s="31" t="s">
        <v>98</v>
      </c>
      <c r="C71" s="31">
        <v>0.35</v>
      </c>
      <c r="D71" s="31">
        <v>0.039</v>
      </c>
      <c r="E71" s="31" t="s">
        <v>93</v>
      </c>
      <c r="F71" s="30"/>
    </row>
    <row r="73">
      <c r="A73" s="27"/>
      <c r="B73" s="29" t="s">
        <v>99</v>
      </c>
      <c r="C73" s="29" t="s">
        <v>100</v>
      </c>
      <c r="D73" s="27"/>
    </row>
    <row r="74">
      <c r="A74" s="27"/>
      <c r="B74" s="27"/>
      <c r="C74" s="29" t="s">
        <v>101</v>
      </c>
      <c r="D74" s="27"/>
    </row>
    <row r="76">
      <c r="A76" s="5" t="s">
        <v>102</v>
      </c>
      <c r="B76" s="5" t="s">
        <v>103</v>
      </c>
      <c r="C76" s="6"/>
      <c r="D76" s="6"/>
      <c r="E76" s="6"/>
      <c r="F76" s="6"/>
      <c r="G76" s="6"/>
      <c r="H76" s="6"/>
    </row>
    <row r="77">
      <c r="B77" s="3" t="s">
        <v>78</v>
      </c>
      <c r="C77" s="14">
        <v>9.0E-4</v>
      </c>
      <c r="E77" s="14" t="s">
        <v>104</v>
      </c>
      <c r="F77" s="14">
        <v>12.0</v>
      </c>
      <c r="H77" s="14" t="s">
        <v>80</v>
      </c>
      <c r="I77" s="14"/>
    </row>
    <row r="78">
      <c r="B78" s="3" t="s">
        <v>105</v>
      </c>
      <c r="C78" s="14">
        <v>3.5317</v>
      </c>
      <c r="E78" s="14" t="s">
        <v>82</v>
      </c>
      <c r="F78" s="14">
        <v>0.0306</v>
      </c>
    </row>
    <row r="80">
      <c r="A80" s="8"/>
      <c r="B80" s="7" t="s">
        <v>106</v>
      </c>
      <c r="C80" s="7" t="s">
        <v>9</v>
      </c>
      <c r="D80" s="7" t="s">
        <v>10</v>
      </c>
      <c r="E80" s="7" t="s">
        <v>11</v>
      </c>
      <c r="F80" s="8"/>
      <c r="G80" s="8"/>
      <c r="H80" s="8"/>
    </row>
    <row r="81">
      <c r="C81" s="20">
        <v>1.225</v>
      </c>
      <c r="D81" s="20">
        <v>1.7</v>
      </c>
      <c r="E81" s="20">
        <v>2.3625</v>
      </c>
    </row>
    <row r="83">
      <c r="A83" s="9"/>
      <c r="B83" s="10" t="s">
        <v>88</v>
      </c>
      <c r="C83" s="10" t="s">
        <v>89</v>
      </c>
      <c r="D83" s="10" t="s">
        <v>90</v>
      </c>
      <c r="E83" s="10" t="s">
        <v>91</v>
      </c>
      <c r="F83" s="9"/>
    </row>
    <row r="84">
      <c r="A84" s="30"/>
      <c r="B84" s="31" t="s">
        <v>107</v>
      </c>
      <c r="C84" s="31">
        <v>1.1375</v>
      </c>
      <c r="D84" s="31">
        <v>0.0306</v>
      </c>
      <c r="E84" s="31" t="s">
        <v>93</v>
      </c>
      <c r="F84" s="30"/>
    </row>
    <row r="85">
      <c r="A85" s="30"/>
      <c r="B85" s="31" t="s">
        <v>108</v>
      </c>
      <c r="C85" s="31">
        <v>0.6625</v>
      </c>
      <c r="D85" s="31">
        <v>0.0306</v>
      </c>
      <c r="E85" s="31" t="s">
        <v>93</v>
      </c>
      <c r="F85" s="30"/>
    </row>
    <row r="86">
      <c r="A86" s="30"/>
      <c r="B86" s="31" t="s">
        <v>109</v>
      </c>
      <c r="C86" s="31">
        <v>0.475</v>
      </c>
      <c r="D86" s="31">
        <v>0.0306</v>
      </c>
      <c r="E86" s="31" t="s">
        <v>93</v>
      </c>
      <c r="F86" s="30"/>
    </row>
    <row r="88">
      <c r="A88" s="27"/>
      <c r="B88" s="29" t="s">
        <v>110</v>
      </c>
      <c r="C88" s="29" t="s">
        <v>111</v>
      </c>
      <c r="D88" s="27"/>
    </row>
    <row r="89">
      <c r="A89" s="27"/>
      <c r="B89" s="27"/>
      <c r="C89" s="29" t="s">
        <v>112</v>
      </c>
      <c r="D89" s="27"/>
    </row>
    <row r="92">
      <c r="A92" s="16" t="s">
        <v>113</v>
      </c>
      <c r="B92" s="17"/>
      <c r="C92" s="17"/>
      <c r="D92" s="17"/>
      <c r="E92" s="17"/>
      <c r="F92" s="17"/>
      <c r="G92" s="17"/>
      <c r="H92" s="17"/>
    </row>
    <row r="93">
      <c r="A93" s="32" t="s">
        <v>114</v>
      </c>
    </row>
    <row r="94">
      <c r="A94" s="32" t="s">
        <v>115</v>
      </c>
    </row>
    <row r="95">
      <c r="A95" s="32" t="s">
        <v>116</v>
      </c>
    </row>
    <row r="96">
      <c r="A96" s="10" t="s">
        <v>117</v>
      </c>
      <c r="B96" s="10" t="s">
        <v>118</v>
      </c>
      <c r="C96" s="10" t="s">
        <v>119</v>
      </c>
      <c r="D96" s="9"/>
    </row>
    <row r="97">
      <c r="A97" s="18" t="s">
        <v>120</v>
      </c>
      <c r="B97" s="13">
        <v>1.0</v>
      </c>
      <c r="C97" s="13">
        <v>0.77</v>
      </c>
      <c r="D97" s="12"/>
    </row>
    <row r="98">
      <c r="A98" s="18" t="s">
        <v>120</v>
      </c>
      <c r="B98" s="13">
        <v>1.0</v>
      </c>
      <c r="C98" s="13">
        <v>0.8</v>
      </c>
      <c r="D98" s="12"/>
    </row>
    <row r="99">
      <c r="A99" s="18" t="s">
        <v>120</v>
      </c>
      <c r="B99" s="13">
        <v>1.0</v>
      </c>
      <c r="C99" s="13">
        <v>0.83</v>
      </c>
      <c r="D99" s="12"/>
    </row>
    <row r="100">
      <c r="A100" s="18" t="s">
        <v>120</v>
      </c>
      <c r="B100" s="13">
        <v>2.0</v>
      </c>
      <c r="C100" s="13">
        <v>1.17</v>
      </c>
      <c r="D100" s="12"/>
    </row>
    <row r="101">
      <c r="A101" s="18" t="s">
        <v>120</v>
      </c>
      <c r="B101" s="13">
        <v>2.0</v>
      </c>
      <c r="C101" s="13">
        <v>1.2</v>
      </c>
      <c r="D101" s="12"/>
    </row>
    <row r="102">
      <c r="A102" s="18" t="s">
        <v>120</v>
      </c>
      <c r="B102" s="13">
        <v>2.0</v>
      </c>
      <c r="C102" s="13">
        <v>1.23</v>
      </c>
      <c r="D102" s="12"/>
    </row>
    <row r="103">
      <c r="A103" s="18" t="s">
        <v>120</v>
      </c>
      <c r="B103" s="13">
        <v>3.0</v>
      </c>
      <c r="C103" s="13">
        <v>1.72</v>
      </c>
      <c r="D103" s="12"/>
    </row>
    <row r="104">
      <c r="A104" s="18" t="s">
        <v>120</v>
      </c>
      <c r="B104" s="13">
        <v>3.0</v>
      </c>
      <c r="C104" s="13">
        <v>1.75</v>
      </c>
      <c r="D104" s="12"/>
    </row>
    <row r="105">
      <c r="A105" s="18" t="s">
        <v>120</v>
      </c>
      <c r="B105" s="13">
        <v>3.0</v>
      </c>
      <c r="C105" s="13">
        <v>1.78</v>
      </c>
      <c r="D105" s="12"/>
    </row>
    <row r="106">
      <c r="A106" s="18" t="s">
        <v>121</v>
      </c>
      <c r="B106" s="13">
        <v>1.0</v>
      </c>
      <c r="C106" s="13">
        <v>1.32</v>
      </c>
      <c r="D106" s="12"/>
    </row>
    <row r="107">
      <c r="A107" s="18" t="s">
        <v>121</v>
      </c>
      <c r="B107" s="13">
        <v>1.0</v>
      </c>
      <c r="C107" s="13">
        <v>1.35</v>
      </c>
      <c r="D107" s="12"/>
    </row>
    <row r="108">
      <c r="A108" s="18" t="s">
        <v>121</v>
      </c>
      <c r="B108" s="13">
        <v>1.0</v>
      </c>
      <c r="C108" s="13">
        <v>1.38</v>
      </c>
      <c r="D108" s="12"/>
    </row>
    <row r="109">
      <c r="A109" s="18" t="s">
        <v>121</v>
      </c>
      <c r="B109" s="13">
        <v>2.0</v>
      </c>
      <c r="C109" s="13">
        <v>1.82</v>
      </c>
      <c r="D109" s="12"/>
    </row>
    <row r="110">
      <c r="A110" s="18" t="s">
        <v>121</v>
      </c>
      <c r="B110" s="13">
        <v>2.0</v>
      </c>
      <c r="C110" s="13">
        <v>1.85</v>
      </c>
      <c r="D110" s="12"/>
    </row>
    <row r="111">
      <c r="A111" s="18" t="s">
        <v>121</v>
      </c>
      <c r="B111" s="13">
        <v>2.0</v>
      </c>
      <c r="C111" s="13">
        <v>1.88</v>
      </c>
      <c r="D111" s="12"/>
    </row>
    <row r="112">
      <c r="A112" s="18" t="s">
        <v>121</v>
      </c>
      <c r="B112" s="13">
        <v>3.0</v>
      </c>
      <c r="C112" s="13">
        <v>2.52</v>
      </c>
      <c r="D112" s="12"/>
    </row>
    <row r="113">
      <c r="A113" s="18" t="s">
        <v>121</v>
      </c>
      <c r="B113" s="13">
        <v>3.0</v>
      </c>
      <c r="C113" s="13">
        <v>2.55</v>
      </c>
      <c r="D113" s="12"/>
    </row>
    <row r="114">
      <c r="A114" s="18" t="s">
        <v>121</v>
      </c>
      <c r="B114" s="13">
        <v>3.0</v>
      </c>
      <c r="C114" s="13">
        <v>2.58</v>
      </c>
      <c r="D114" s="12"/>
    </row>
    <row r="115">
      <c r="A115" s="18" t="s">
        <v>85</v>
      </c>
      <c r="B115" s="13">
        <v>1.0</v>
      </c>
      <c r="C115" s="13">
        <v>1.07</v>
      </c>
      <c r="D115" s="12"/>
    </row>
    <row r="116">
      <c r="A116" s="18" t="s">
        <v>85</v>
      </c>
      <c r="B116" s="13">
        <v>1.0</v>
      </c>
      <c r="C116" s="13">
        <v>1.1</v>
      </c>
      <c r="D116" s="12"/>
    </row>
    <row r="117">
      <c r="A117" s="18" t="s">
        <v>85</v>
      </c>
      <c r="B117" s="13">
        <v>1.0</v>
      </c>
      <c r="C117" s="13">
        <v>1.13</v>
      </c>
      <c r="D117" s="12"/>
    </row>
    <row r="118">
      <c r="A118" s="18" t="s">
        <v>85</v>
      </c>
      <c r="B118" s="13">
        <v>2.0</v>
      </c>
      <c r="C118" s="13">
        <v>1.52</v>
      </c>
      <c r="D118" s="12"/>
    </row>
    <row r="119">
      <c r="A119" s="18" t="s">
        <v>85</v>
      </c>
      <c r="B119" s="13">
        <v>2.0</v>
      </c>
      <c r="C119" s="13">
        <v>1.55</v>
      </c>
      <c r="D119" s="12"/>
    </row>
    <row r="120">
      <c r="A120" s="18" t="s">
        <v>85</v>
      </c>
      <c r="B120" s="13">
        <v>2.0</v>
      </c>
      <c r="C120" s="13">
        <v>1.58</v>
      </c>
      <c r="D120" s="12"/>
    </row>
    <row r="121">
      <c r="A121" s="18" t="s">
        <v>85</v>
      </c>
      <c r="B121" s="13">
        <v>3.0</v>
      </c>
      <c r="C121" s="13">
        <v>2.12</v>
      </c>
      <c r="D121" s="12"/>
    </row>
    <row r="122">
      <c r="A122" s="18" t="s">
        <v>85</v>
      </c>
      <c r="B122" s="13">
        <v>3.0</v>
      </c>
      <c r="C122" s="13">
        <v>2.15</v>
      </c>
      <c r="D122" s="12"/>
    </row>
    <row r="123">
      <c r="A123" s="18" t="s">
        <v>85</v>
      </c>
      <c r="B123" s="13">
        <v>3.0</v>
      </c>
      <c r="C123" s="13">
        <v>2.18</v>
      </c>
      <c r="D123" s="12"/>
    </row>
    <row r="124">
      <c r="A124" s="18" t="s">
        <v>122</v>
      </c>
      <c r="B124" s="13">
        <v>1.0</v>
      </c>
      <c r="C124" s="13">
        <v>1.62</v>
      </c>
      <c r="D124" s="12"/>
    </row>
    <row r="125">
      <c r="A125" s="18" t="s">
        <v>122</v>
      </c>
      <c r="B125" s="13">
        <v>1.0</v>
      </c>
      <c r="C125" s="13">
        <v>1.65</v>
      </c>
      <c r="D125" s="12"/>
    </row>
    <row r="126">
      <c r="A126" s="18" t="s">
        <v>122</v>
      </c>
      <c r="B126" s="13">
        <v>1.0</v>
      </c>
      <c r="C126" s="13">
        <v>1.68</v>
      </c>
      <c r="D126" s="12"/>
    </row>
    <row r="127">
      <c r="A127" s="18" t="s">
        <v>122</v>
      </c>
      <c r="B127" s="13">
        <v>2.0</v>
      </c>
      <c r="C127" s="13">
        <v>2.17</v>
      </c>
      <c r="D127" s="12"/>
    </row>
    <row r="128">
      <c r="A128" s="18" t="s">
        <v>122</v>
      </c>
      <c r="B128" s="13">
        <v>2.0</v>
      </c>
      <c r="C128" s="13">
        <v>2.2</v>
      </c>
      <c r="D128" s="12"/>
    </row>
    <row r="129">
      <c r="A129" s="18" t="s">
        <v>122</v>
      </c>
      <c r="B129" s="13">
        <v>2.0</v>
      </c>
      <c r="C129" s="13">
        <v>2.23</v>
      </c>
      <c r="D129" s="12"/>
    </row>
    <row r="130">
      <c r="A130" s="18" t="s">
        <v>122</v>
      </c>
      <c r="B130" s="13">
        <v>3.0</v>
      </c>
      <c r="C130" s="13">
        <v>2.97</v>
      </c>
      <c r="D130" s="12"/>
    </row>
    <row r="131">
      <c r="A131" s="18" t="s">
        <v>122</v>
      </c>
      <c r="B131" s="13">
        <v>3.0</v>
      </c>
      <c r="C131" s="13">
        <v>3.0</v>
      </c>
      <c r="D131" s="12"/>
    </row>
    <row r="132">
      <c r="A132" s="18" t="s">
        <v>122</v>
      </c>
      <c r="B132" s="13">
        <v>3.0</v>
      </c>
      <c r="C132" s="13">
        <v>3.03</v>
      </c>
      <c r="D13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</v>
      </c>
      <c r="B1" s="2"/>
      <c r="C1" s="2"/>
      <c r="D1" s="2"/>
      <c r="E1" s="2"/>
      <c r="F1" s="2"/>
      <c r="G1" s="2"/>
      <c r="H1" s="2"/>
    </row>
    <row r="2">
      <c r="A2" s="3" t="s">
        <v>124</v>
      </c>
      <c r="B2" s="4"/>
      <c r="C2" s="4"/>
      <c r="D2" s="4"/>
      <c r="E2" s="4"/>
      <c r="F2" s="4"/>
      <c r="G2" s="4"/>
      <c r="H2" s="4"/>
    </row>
    <row r="4">
      <c r="A4" s="5" t="s">
        <v>2</v>
      </c>
      <c r="B4" s="6"/>
      <c r="C4" s="6"/>
      <c r="D4" s="6"/>
      <c r="E4" s="6"/>
      <c r="F4" s="6"/>
      <c r="G4" s="6"/>
      <c r="H4" s="6"/>
    </row>
    <row r="5">
      <c r="A5" s="8"/>
      <c r="B5" s="8"/>
      <c r="C5" s="7" t="s">
        <v>125</v>
      </c>
      <c r="D5" s="8"/>
      <c r="E5" s="8"/>
      <c r="F5" s="8"/>
      <c r="G5" s="8"/>
      <c r="H5" s="8"/>
    </row>
    <row r="6">
      <c r="A6" s="10" t="s">
        <v>126</v>
      </c>
      <c r="B6" s="9"/>
      <c r="C6" s="10" t="s">
        <v>127</v>
      </c>
      <c r="D6" s="10" t="s">
        <v>128</v>
      </c>
      <c r="E6" s="10" t="s">
        <v>129</v>
      </c>
      <c r="F6" s="10" t="s">
        <v>130</v>
      </c>
      <c r="G6" s="8"/>
      <c r="H6" s="8"/>
    </row>
    <row r="7">
      <c r="A7" s="11" t="s">
        <v>131</v>
      </c>
      <c r="B7" s="12"/>
      <c r="C7" s="18" t="s">
        <v>132</v>
      </c>
      <c r="D7" s="18" t="s">
        <v>133</v>
      </c>
      <c r="E7" s="18" t="s">
        <v>134</v>
      </c>
      <c r="F7" s="18" t="s">
        <v>135</v>
      </c>
    </row>
    <row r="8">
      <c r="A8" s="11" t="s">
        <v>136</v>
      </c>
      <c r="B8" s="12"/>
      <c r="C8" s="18" t="s">
        <v>137</v>
      </c>
      <c r="D8" s="18" t="s">
        <v>138</v>
      </c>
      <c r="E8" s="18" t="s">
        <v>139</v>
      </c>
      <c r="F8" s="18" t="s">
        <v>140</v>
      </c>
    </row>
    <row r="9">
      <c r="A9" s="11" t="s">
        <v>141</v>
      </c>
      <c r="B9" s="12"/>
      <c r="C9" s="18" t="s">
        <v>142</v>
      </c>
      <c r="D9" s="18" t="s">
        <v>143</v>
      </c>
      <c r="E9" s="18" t="s">
        <v>144</v>
      </c>
      <c r="F9" s="18" t="s">
        <v>145</v>
      </c>
    </row>
    <row r="10">
      <c r="A10" s="11" t="s">
        <v>146</v>
      </c>
      <c r="B10" s="12"/>
      <c r="C10" s="18" t="s">
        <v>147</v>
      </c>
      <c r="D10" s="18" t="s">
        <v>148</v>
      </c>
      <c r="E10" s="18" t="s">
        <v>149</v>
      </c>
      <c r="F10" s="18" t="s">
        <v>150</v>
      </c>
    </row>
    <row r="12">
      <c r="A12" s="5" t="s">
        <v>12</v>
      </c>
      <c r="B12" s="6"/>
      <c r="C12" s="6"/>
      <c r="D12" s="6"/>
      <c r="E12" s="6"/>
      <c r="F12" s="6"/>
      <c r="G12" s="6"/>
      <c r="H12" s="6"/>
    </row>
    <row r="14">
      <c r="A14" s="14" t="s">
        <v>13</v>
      </c>
      <c r="B14" s="14" t="s">
        <v>151</v>
      </c>
      <c r="C14" s="14">
        <v>4.0</v>
      </c>
      <c r="E14" s="14" t="s">
        <v>152</v>
      </c>
      <c r="F14" s="14">
        <v>16.0</v>
      </c>
    </row>
    <row r="16">
      <c r="A16" s="5" t="s">
        <v>17</v>
      </c>
      <c r="B16" s="6"/>
      <c r="C16" s="6"/>
      <c r="D16" s="6"/>
      <c r="E16" s="6"/>
      <c r="F16" s="6"/>
      <c r="G16" s="6"/>
      <c r="H16" s="6"/>
    </row>
    <row r="17">
      <c r="A17" s="3" t="s">
        <v>153</v>
      </c>
      <c r="B17" s="14" t="s">
        <v>19</v>
      </c>
      <c r="C17" s="14" t="s">
        <v>154</v>
      </c>
      <c r="E17" s="14" t="s">
        <v>21</v>
      </c>
      <c r="F17" s="14" t="s">
        <v>22</v>
      </c>
    </row>
    <row r="18">
      <c r="A18" s="3" t="s">
        <v>155</v>
      </c>
      <c r="B18" s="14" t="s">
        <v>19</v>
      </c>
      <c r="C18" s="14" t="s">
        <v>156</v>
      </c>
      <c r="E18" s="14" t="s">
        <v>21</v>
      </c>
      <c r="F18" s="14" t="s">
        <v>22</v>
      </c>
    </row>
    <row r="19">
      <c r="A19" s="3" t="s">
        <v>157</v>
      </c>
      <c r="B19" s="14" t="s">
        <v>19</v>
      </c>
      <c r="C19" s="14" t="s">
        <v>158</v>
      </c>
      <c r="E19" s="14" t="s">
        <v>21</v>
      </c>
      <c r="F19" s="14" t="s">
        <v>22</v>
      </c>
    </row>
    <row r="21">
      <c r="A21" s="16" t="s">
        <v>159</v>
      </c>
      <c r="B21" s="17"/>
      <c r="C21" s="17"/>
      <c r="D21" s="17"/>
      <c r="E21" s="17"/>
      <c r="F21" s="17"/>
      <c r="G21" s="17"/>
      <c r="H21" s="17"/>
    </row>
    <row r="22">
      <c r="A22" s="9"/>
      <c r="B22" s="9"/>
      <c r="C22" s="10" t="s">
        <v>127</v>
      </c>
      <c r="D22" s="10" t="s">
        <v>128</v>
      </c>
      <c r="E22" s="10" t="s">
        <v>129</v>
      </c>
      <c r="F22" s="10" t="s">
        <v>130</v>
      </c>
      <c r="G22" s="10" t="s">
        <v>160</v>
      </c>
      <c r="H22" s="10" t="s">
        <v>10</v>
      </c>
    </row>
    <row r="23">
      <c r="A23" s="11" t="s">
        <v>131</v>
      </c>
      <c r="B23" s="12"/>
      <c r="C23" s="18">
        <v>12.03</v>
      </c>
      <c r="D23" s="18">
        <v>16.07</v>
      </c>
      <c r="E23" s="18">
        <v>20.76</v>
      </c>
      <c r="F23" s="18">
        <v>14.21</v>
      </c>
      <c r="G23" s="18">
        <v>63.07</v>
      </c>
      <c r="H23" s="18">
        <v>15.7675</v>
      </c>
    </row>
    <row r="24">
      <c r="A24" s="11" t="s">
        <v>136</v>
      </c>
      <c r="B24" s="12"/>
      <c r="C24" s="18">
        <v>17.34</v>
      </c>
      <c r="D24" s="18">
        <v>20.59</v>
      </c>
      <c r="E24" s="18">
        <v>15.48</v>
      </c>
      <c r="F24" s="18">
        <v>13.03</v>
      </c>
      <c r="G24" s="18">
        <v>66.44</v>
      </c>
      <c r="H24" s="18">
        <v>16.61</v>
      </c>
    </row>
    <row r="25">
      <c r="A25" s="11" t="s">
        <v>141</v>
      </c>
      <c r="B25" s="12"/>
      <c r="C25" s="18">
        <v>19.7</v>
      </c>
      <c r="D25" s="18">
        <v>13.08</v>
      </c>
      <c r="E25" s="18">
        <v>12.07</v>
      </c>
      <c r="F25" s="18">
        <v>16.24</v>
      </c>
      <c r="G25" s="18">
        <v>61.09</v>
      </c>
      <c r="H25" s="18">
        <v>15.2725</v>
      </c>
    </row>
    <row r="26">
      <c r="A26" s="11" t="s">
        <v>146</v>
      </c>
      <c r="B26" s="12"/>
      <c r="C26" s="18">
        <v>14.29</v>
      </c>
      <c r="D26" s="18">
        <v>11.83</v>
      </c>
      <c r="E26" s="18">
        <v>17.38</v>
      </c>
      <c r="F26" s="18">
        <v>20.74</v>
      </c>
      <c r="G26" s="18">
        <v>64.24</v>
      </c>
      <c r="H26" s="18">
        <v>16.06</v>
      </c>
    </row>
    <row r="27">
      <c r="A27" s="10" t="s">
        <v>161</v>
      </c>
      <c r="B27" s="9"/>
      <c r="C27" s="10">
        <v>63.36</v>
      </c>
      <c r="D27" s="10">
        <v>61.57</v>
      </c>
      <c r="E27" s="10">
        <v>65.69</v>
      </c>
      <c r="F27" s="10">
        <v>64.22</v>
      </c>
      <c r="G27" s="10">
        <v>254.84</v>
      </c>
      <c r="H27" s="10" t="s">
        <v>162</v>
      </c>
    </row>
    <row r="28">
      <c r="A28" s="11" t="s">
        <v>10</v>
      </c>
      <c r="B28" s="19"/>
      <c r="C28" s="11">
        <v>15.84</v>
      </c>
      <c r="D28" s="11">
        <v>15.3925</v>
      </c>
      <c r="E28" s="11">
        <v>16.4225</v>
      </c>
      <c r="F28" s="11">
        <v>16.055</v>
      </c>
      <c r="G28" s="19"/>
      <c r="H28" s="11">
        <v>15.9275</v>
      </c>
    </row>
    <row r="30">
      <c r="A30" s="33" t="s">
        <v>163</v>
      </c>
      <c r="B30" s="34"/>
      <c r="C30" s="34"/>
      <c r="D30" s="34"/>
      <c r="E30" s="34"/>
      <c r="F30" s="34"/>
      <c r="G30" s="34"/>
      <c r="H30" s="17"/>
    </row>
    <row r="31">
      <c r="A31" s="9"/>
      <c r="B31" s="10" t="s">
        <v>164</v>
      </c>
      <c r="C31" s="10" t="s">
        <v>165</v>
      </c>
      <c r="D31" s="10" t="s">
        <v>166</v>
      </c>
      <c r="E31" s="10" t="s">
        <v>167</v>
      </c>
      <c r="F31" s="10" t="s">
        <v>168</v>
      </c>
      <c r="G31" s="10" t="s">
        <v>162</v>
      </c>
      <c r="H31" s="8"/>
    </row>
    <row r="32">
      <c r="A32" s="12"/>
      <c r="B32" s="11" t="s">
        <v>169</v>
      </c>
      <c r="C32" s="18">
        <v>48.96</v>
      </c>
      <c r="D32" s="18">
        <v>67.03</v>
      </c>
      <c r="E32" s="18">
        <v>81.79</v>
      </c>
      <c r="F32" s="18">
        <v>57.06</v>
      </c>
      <c r="G32" s="18">
        <v>254.84</v>
      </c>
    </row>
    <row r="33">
      <c r="A33" s="12"/>
      <c r="B33" s="11" t="s">
        <v>170</v>
      </c>
      <c r="C33" s="18">
        <v>12.24</v>
      </c>
      <c r="D33" s="18">
        <v>16.7575</v>
      </c>
      <c r="E33" s="18">
        <v>20.4475</v>
      </c>
      <c r="F33" s="18">
        <v>14.265</v>
      </c>
      <c r="G33" s="12"/>
    </row>
    <row r="35">
      <c r="A35" s="3" t="s">
        <v>35</v>
      </c>
      <c r="B35" s="14" t="s">
        <v>36</v>
      </c>
      <c r="C35" s="14" t="s">
        <v>37</v>
      </c>
      <c r="D35" s="14" t="s">
        <v>171</v>
      </c>
      <c r="E35" s="20">
        <v>4058.9641</v>
      </c>
    </row>
    <row r="37">
      <c r="A37" s="3" t="s">
        <v>39</v>
      </c>
      <c r="B37" s="14" t="s">
        <v>40</v>
      </c>
      <c r="C37" s="14" t="s">
        <v>172</v>
      </c>
      <c r="D37" s="14" t="s">
        <v>173</v>
      </c>
      <c r="E37" s="20">
        <v>155.9023</v>
      </c>
    </row>
    <row r="39">
      <c r="A39" s="3" t="s">
        <v>43</v>
      </c>
      <c r="B39" s="14" t="s">
        <v>174</v>
      </c>
      <c r="C39" s="14" t="s">
        <v>175</v>
      </c>
      <c r="D39" s="14" t="s">
        <v>176</v>
      </c>
      <c r="E39" s="20">
        <v>3.752</v>
      </c>
    </row>
    <row r="41">
      <c r="A41" s="3" t="s">
        <v>47</v>
      </c>
      <c r="B41" s="14" t="s">
        <v>177</v>
      </c>
      <c r="C41" s="14" t="s">
        <v>178</v>
      </c>
      <c r="D41" s="14" t="s">
        <v>179</v>
      </c>
      <c r="E41" s="20">
        <v>2.2207</v>
      </c>
    </row>
    <row r="43">
      <c r="A43" s="3" t="s">
        <v>51</v>
      </c>
      <c r="B43" s="14" t="s">
        <v>180</v>
      </c>
      <c r="C43" s="14" t="s">
        <v>181</v>
      </c>
      <c r="D43" s="14" t="s">
        <v>182</v>
      </c>
      <c r="E43" s="20">
        <v>149.9235</v>
      </c>
    </row>
    <row r="45">
      <c r="A45" s="3" t="s">
        <v>55</v>
      </c>
      <c r="B45" s="14" t="s">
        <v>56</v>
      </c>
      <c r="C45" s="14" t="s">
        <v>183</v>
      </c>
      <c r="D45" s="14" t="s">
        <v>184</v>
      </c>
      <c r="E45" s="20">
        <v>0.0061</v>
      </c>
    </row>
    <row r="47">
      <c r="A47" s="5" t="s">
        <v>59</v>
      </c>
      <c r="B47" s="5" t="s">
        <v>60</v>
      </c>
      <c r="C47" s="6"/>
      <c r="D47" s="6"/>
      <c r="E47" s="6"/>
      <c r="F47" s="6"/>
      <c r="G47" s="6"/>
      <c r="H47" s="6"/>
    </row>
    <row r="48">
      <c r="A48" s="9"/>
      <c r="B48" s="10" t="s">
        <v>61</v>
      </c>
      <c r="C48" s="10" t="s">
        <v>62</v>
      </c>
      <c r="D48" s="10" t="s">
        <v>63</v>
      </c>
      <c r="E48" s="10" t="s">
        <v>64</v>
      </c>
      <c r="F48" s="10" t="s">
        <v>65</v>
      </c>
      <c r="G48" s="10" t="s">
        <v>66</v>
      </c>
      <c r="H48" s="9"/>
    </row>
    <row r="49">
      <c r="A49" s="21"/>
      <c r="B49" s="22" t="s">
        <v>126</v>
      </c>
      <c r="C49" s="22">
        <v>3.752</v>
      </c>
      <c r="D49" s="22">
        <v>3.0</v>
      </c>
      <c r="E49" s="22">
        <v>1.2507</v>
      </c>
      <c r="F49" s="22">
        <v>1200.624</v>
      </c>
      <c r="G49" s="21">
        <f t="shared" ref="G49:G51" si="1">_xlfn.F.INV.RT(0.05,3,6)</f>
        <v>4.757062663</v>
      </c>
      <c r="H49" s="21"/>
    </row>
    <row r="50">
      <c r="A50" s="21"/>
      <c r="B50" s="22" t="s">
        <v>185</v>
      </c>
      <c r="C50" s="22">
        <v>2.2207</v>
      </c>
      <c r="D50" s="22">
        <v>3.0</v>
      </c>
      <c r="E50" s="22">
        <v>0.7402</v>
      </c>
      <c r="F50" s="22">
        <v>710.608</v>
      </c>
      <c r="G50" s="21">
        <f t="shared" si="1"/>
        <v>4.757062663</v>
      </c>
      <c r="H50" s="21"/>
    </row>
    <row r="51">
      <c r="A51" s="21"/>
      <c r="B51" s="22" t="s">
        <v>164</v>
      </c>
      <c r="C51" s="22">
        <v>149.9235</v>
      </c>
      <c r="D51" s="22">
        <v>3.0</v>
      </c>
      <c r="E51" s="22">
        <v>49.9745</v>
      </c>
      <c r="F51" s="22">
        <v>47975.504</v>
      </c>
      <c r="G51" s="21">
        <f t="shared" si="1"/>
        <v>4.757062663</v>
      </c>
      <c r="H51" s="21"/>
    </row>
    <row r="52">
      <c r="A52" s="23"/>
      <c r="B52" s="24" t="s">
        <v>70</v>
      </c>
      <c r="C52" s="24">
        <v>0.0061</v>
      </c>
      <c r="D52" s="24">
        <v>6.0</v>
      </c>
      <c r="E52" s="24">
        <v>0.001</v>
      </c>
      <c r="F52" s="23"/>
      <c r="G52" s="23"/>
      <c r="H52" s="23"/>
    </row>
    <row r="53">
      <c r="A53" s="25"/>
      <c r="B53" s="26" t="s">
        <v>71</v>
      </c>
      <c r="C53" s="26">
        <v>155.9023</v>
      </c>
      <c r="D53" s="26">
        <v>15.0</v>
      </c>
      <c r="E53" s="25"/>
      <c r="F53" s="25"/>
      <c r="G53" s="25"/>
      <c r="H53" s="25"/>
    </row>
    <row r="55">
      <c r="A55" s="27"/>
      <c r="B55" s="29" t="s">
        <v>72</v>
      </c>
      <c r="C55" s="29" t="s">
        <v>186</v>
      </c>
      <c r="D55" s="27"/>
      <c r="E55" s="27"/>
      <c r="F55" s="27"/>
      <c r="G55" s="27"/>
      <c r="H55" s="27"/>
    </row>
    <row r="56">
      <c r="A56" s="27"/>
      <c r="B56" s="29" t="s">
        <v>72</v>
      </c>
      <c r="C56" s="29" t="s">
        <v>187</v>
      </c>
      <c r="D56" s="27"/>
      <c r="E56" s="27"/>
      <c r="F56" s="27"/>
      <c r="G56" s="27"/>
      <c r="H56" s="27"/>
    </row>
    <row r="57">
      <c r="A57" s="27"/>
      <c r="B57" s="29" t="s">
        <v>72</v>
      </c>
      <c r="C57" s="29" t="s">
        <v>188</v>
      </c>
      <c r="D57" s="27"/>
      <c r="E57" s="27"/>
      <c r="F57" s="27"/>
      <c r="G57" s="27"/>
      <c r="H57" s="27"/>
    </row>
    <row r="59">
      <c r="A59" s="5" t="s">
        <v>76</v>
      </c>
      <c r="B59" s="5" t="s">
        <v>189</v>
      </c>
      <c r="C59" s="6"/>
      <c r="D59" s="6"/>
      <c r="E59" s="6"/>
      <c r="F59" s="6"/>
      <c r="G59" s="6"/>
      <c r="H59" s="6"/>
    </row>
    <row r="60">
      <c r="B60" s="3" t="s">
        <v>78</v>
      </c>
      <c r="C60" s="14">
        <v>0.001</v>
      </c>
      <c r="E60" s="14" t="s">
        <v>190</v>
      </c>
      <c r="F60" s="14">
        <v>4.0</v>
      </c>
      <c r="G60" s="14" t="s">
        <v>80</v>
      </c>
      <c r="H60" s="14">
        <v>6.0</v>
      </c>
    </row>
    <row r="61">
      <c r="B61" s="3" t="s">
        <v>191</v>
      </c>
      <c r="C61" s="14">
        <v>4.8957</v>
      </c>
      <c r="E61" s="14" t="s">
        <v>192</v>
      </c>
      <c r="F61" s="14">
        <v>0.079</v>
      </c>
    </row>
    <row r="63">
      <c r="A63" s="8"/>
      <c r="B63" s="7" t="s">
        <v>193</v>
      </c>
      <c r="C63" s="7" t="s">
        <v>165</v>
      </c>
      <c r="D63" s="7" t="s">
        <v>168</v>
      </c>
      <c r="E63" s="7" t="s">
        <v>166</v>
      </c>
      <c r="F63" s="7" t="s">
        <v>167</v>
      </c>
      <c r="G63" s="8"/>
      <c r="H63" s="8"/>
    </row>
    <row r="64">
      <c r="C64" s="20">
        <v>12.24</v>
      </c>
      <c r="D64" s="20">
        <v>14.265</v>
      </c>
      <c r="E64" s="20">
        <v>16.7575</v>
      </c>
      <c r="F64" s="20">
        <v>20.4475</v>
      </c>
    </row>
    <row r="66">
      <c r="A66" s="9"/>
      <c r="B66" s="10" t="s">
        <v>194</v>
      </c>
      <c r="C66" s="10" t="s">
        <v>89</v>
      </c>
      <c r="D66" s="10" t="s">
        <v>195</v>
      </c>
      <c r="E66" s="10" t="s">
        <v>196</v>
      </c>
      <c r="F66" s="9"/>
    </row>
    <row r="67">
      <c r="A67" s="30"/>
      <c r="B67" s="31" t="s">
        <v>197</v>
      </c>
      <c r="C67" s="31">
        <v>8.2075</v>
      </c>
      <c r="D67" s="31">
        <v>0.079</v>
      </c>
      <c r="E67" s="31" t="s">
        <v>198</v>
      </c>
      <c r="F67" s="30"/>
    </row>
    <row r="68">
      <c r="A68" s="30"/>
      <c r="B68" s="31" t="s">
        <v>199</v>
      </c>
      <c r="C68" s="31">
        <v>6.1825</v>
      </c>
      <c r="D68" s="31">
        <v>0.079</v>
      </c>
      <c r="E68" s="31" t="s">
        <v>198</v>
      </c>
      <c r="F68" s="30"/>
    </row>
    <row r="69">
      <c r="A69" s="30"/>
      <c r="B69" s="31" t="s">
        <v>200</v>
      </c>
      <c r="C69" s="31">
        <v>3.69</v>
      </c>
      <c r="D69" s="31">
        <v>0.079</v>
      </c>
      <c r="E69" s="31" t="s">
        <v>198</v>
      </c>
      <c r="F69" s="30"/>
    </row>
    <row r="70">
      <c r="A70" s="30"/>
      <c r="B70" s="31" t="s">
        <v>201</v>
      </c>
      <c r="C70" s="31">
        <v>4.5175</v>
      </c>
      <c r="D70" s="31">
        <v>0.079</v>
      </c>
      <c r="E70" s="31" t="s">
        <v>198</v>
      </c>
      <c r="F70" s="30"/>
    </row>
    <row r="71">
      <c r="A71" s="30"/>
      <c r="B71" s="31" t="s">
        <v>202</v>
      </c>
      <c r="C71" s="31">
        <v>2.4925</v>
      </c>
      <c r="D71" s="31">
        <v>0.079</v>
      </c>
      <c r="E71" s="31" t="s">
        <v>198</v>
      </c>
      <c r="F71" s="30"/>
    </row>
    <row r="72">
      <c r="A72" s="30"/>
      <c r="B72" s="31" t="s">
        <v>203</v>
      </c>
      <c r="C72" s="31">
        <v>2.025</v>
      </c>
      <c r="D72" s="31">
        <v>0.079</v>
      </c>
      <c r="E72" s="31" t="s">
        <v>198</v>
      </c>
      <c r="F72" s="30"/>
    </row>
    <row r="74">
      <c r="A74" s="27"/>
      <c r="B74" s="29" t="s">
        <v>204</v>
      </c>
      <c r="C74" s="29" t="s">
        <v>205</v>
      </c>
      <c r="D74" s="27"/>
      <c r="E74" s="27"/>
      <c r="F74" s="27"/>
      <c r="G74" s="27"/>
      <c r="H74" s="27"/>
    </row>
    <row r="75">
      <c r="A75" s="27"/>
      <c r="B75" s="27"/>
      <c r="C75" s="29" t="s">
        <v>206</v>
      </c>
      <c r="D75" s="27"/>
      <c r="E75" s="27"/>
      <c r="F75" s="27"/>
      <c r="G75" s="27"/>
      <c r="H75" s="27"/>
    </row>
    <row r="76">
      <c r="A76" s="27"/>
      <c r="B76" s="27"/>
      <c r="C76" s="29" t="s">
        <v>207</v>
      </c>
      <c r="D76" s="27"/>
      <c r="E76" s="27"/>
      <c r="F76" s="27"/>
      <c r="G76" s="27"/>
      <c r="H76" s="27"/>
    </row>
    <row r="80">
      <c r="A80" s="16" t="s">
        <v>208</v>
      </c>
      <c r="B80" s="17"/>
      <c r="C80" s="17"/>
      <c r="D80" s="17"/>
      <c r="E80" s="17"/>
      <c r="F80" s="17"/>
      <c r="G80" s="17"/>
      <c r="H80" s="17"/>
    </row>
    <row r="81">
      <c r="A81" s="32" t="s">
        <v>114</v>
      </c>
      <c r="B81" s="35"/>
      <c r="C81" s="35"/>
      <c r="D81" s="35"/>
      <c r="E81" s="35"/>
      <c r="F81" s="35"/>
      <c r="G81" s="35"/>
      <c r="H81" s="35"/>
    </row>
    <row r="82">
      <c r="A82" s="32" t="s">
        <v>209</v>
      </c>
      <c r="B82" s="35"/>
      <c r="C82" s="35"/>
      <c r="D82" s="35"/>
      <c r="E82" s="35"/>
      <c r="F82" s="35"/>
      <c r="G82" s="35"/>
      <c r="H82" s="35"/>
    </row>
    <row r="84">
      <c r="A84" s="10" t="s">
        <v>164</v>
      </c>
      <c r="B84" s="10" t="s">
        <v>126</v>
      </c>
      <c r="C84" s="10" t="s">
        <v>210</v>
      </c>
      <c r="D84" s="10" t="s">
        <v>211</v>
      </c>
      <c r="E84" s="8"/>
    </row>
    <row r="85">
      <c r="A85" s="18" t="s">
        <v>165</v>
      </c>
      <c r="B85" s="18">
        <v>1.0</v>
      </c>
      <c r="C85" s="18">
        <v>1.0</v>
      </c>
      <c r="D85" s="18">
        <v>12.03</v>
      </c>
    </row>
    <row r="86">
      <c r="A86" s="18" t="s">
        <v>166</v>
      </c>
      <c r="B86" s="18">
        <v>1.0</v>
      </c>
      <c r="C86" s="18">
        <v>2.0</v>
      </c>
      <c r="D86" s="18">
        <v>16.07</v>
      </c>
    </row>
    <row r="87">
      <c r="A87" s="18" t="s">
        <v>167</v>
      </c>
      <c r="B87" s="18">
        <v>1.0</v>
      </c>
      <c r="C87" s="18">
        <v>3.0</v>
      </c>
      <c r="D87" s="18">
        <v>20.76</v>
      </c>
    </row>
    <row r="88">
      <c r="A88" s="18" t="s">
        <v>168</v>
      </c>
      <c r="B88" s="18">
        <v>1.0</v>
      </c>
      <c r="C88" s="18">
        <v>4.0</v>
      </c>
      <c r="D88" s="18">
        <v>14.21</v>
      </c>
    </row>
    <row r="89">
      <c r="A89" s="18" t="s">
        <v>166</v>
      </c>
      <c r="B89" s="18">
        <v>2.0</v>
      </c>
      <c r="C89" s="18">
        <v>1.0</v>
      </c>
      <c r="D89" s="18">
        <v>17.34</v>
      </c>
    </row>
    <row r="90">
      <c r="A90" s="18" t="s">
        <v>167</v>
      </c>
      <c r="B90" s="18">
        <v>2.0</v>
      </c>
      <c r="C90" s="18">
        <v>2.0</v>
      </c>
      <c r="D90" s="18">
        <v>20.59</v>
      </c>
    </row>
    <row r="91">
      <c r="A91" s="18" t="s">
        <v>168</v>
      </c>
      <c r="B91" s="18">
        <v>2.0</v>
      </c>
      <c r="C91" s="18">
        <v>3.0</v>
      </c>
      <c r="D91" s="18">
        <v>15.48</v>
      </c>
    </row>
    <row r="92">
      <c r="A92" s="18" t="s">
        <v>165</v>
      </c>
      <c r="B92" s="18">
        <v>2.0</v>
      </c>
      <c r="C92" s="18">
        <v>4.0</v>
      </c>
      <c r="D92" s="18">
        <v>13.03</v>
      </c>
    </row>
    <row r="93">
      <c r="A93" s="18" t="s">
        <v>167</v>
      </c>
      <c r="B93" s="18">
        <v>3.0</v>
      </c>
      <c r="C93" s="18">
        <v>1.0</v>
      </c>
      <c r="D93" s="18">
        <v>19.7</v>
      </c>
    </row>
    <row r="94">
      <c r="A94" s="18" t="s">
        <v>168</v>
      </c>
      <c r="B94" s="18">
        <v>3.0</v>
      </c>
      <c r="C94" s="18">
        <v>2.0</v>
      </c>
      <c r="D94" s="18">
        <v>13.08</v>
      </c>
    </row>
    <row r="95">
      <c r="A95" s="18" t="s">
        <v>165</v>
      </c>
      <c r="B95" s="18">
        <v>3.0</v>
      </c>
      <c r="C95" s="18">
        <v>3.0</v>
      </c>
      <c r="D95" s="18">
        <v>12.07</v>
      </c>
    </row>
    <row r="96">
      <c r="A96" s="18" t="s">
        <v>166</v>
      </c>
      <c r="B96" s="18">
        <v>3.0</v>
      </c>
      <c r="C96" s="18">
        <v>4.0</v>
      </c>
      <c r="D96" s="18">
        <v>16.24</v>
      </c>
    </row>
    <row r="97">
      <c r="A97" s="18" t="s">
        <v>168</v>
      </c>
      <c r="B97" s="18">
        <v>4.0</v>
      </c>
      <c r="C97" s="18">
        <v>1.0</v>
      </c>
      <c r="D97" s="18">
        <v>14.29</v>
      </c>
    </row>
    <row r="98">
      <c r="A98" s="18" t="s">
        <v>165</v>
      </c>
      <c r="B98" s="18">
        <v>4.0</v>
      </c>
      <c r="C98" s="18">
        <v>2.0</v>
      </c>
      <c r="D98" s="18">
        <v>11.83</v>
      </c>
    </row>
    <row r="99">
      <c r="A99" s="18" t="s">
        <v>166</v>
      </c>
      <c r="B99" s="18">
        <v>4.0</v>
      </c>
      <c r="C99" s="18">
        <v>3.0</v>
      </c>
      <c r="D99" s="18">
        <v>17.38</v>
      </c>
    </row>
    <row r="100">
      <c r="A100" s="18" t="s">
        <v>167</v>
      </c>
      <c r="B100" s="18">
        <v>4.0</v>
      </c>
      <c r="C100" s="18">
        <v>4.0</v>
      </c>
      <c r="D100" s="18">
        <v>20.74</v>
      </c>
    </row>
  </sheetData>
  <drawing r:id="rId1"/>
</worksheet>
</file>