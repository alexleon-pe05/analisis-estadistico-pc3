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d2e1bac5eb49ec" /></Relationships>
</file>

<file path=xl/workbook.xml><?xml version="1.0" encoding="utf-8"?>
<x:workbook xmlns:x="http://schemas.openxmlformats.org/spreadsheetml/2006/main">
  <x:sheets>
    <x:sheet xmlns:r="http://schemas.openxmlformats.org/officeDocument/2006/relationships" name="Datos_Minitab" sheetId="1" r:id="Ra9334fc490854ffe"/>
    <x:sheet xmlns:r="http://schemas.openxmlformats.org/officeDocument/2006/relationships" name="Datos_Raw" sheetId="2" r:id="R02cd8da11d104067"/>
    <x:sheet xmlns:r="http://schemas.openxmlformats.org/officeDocument/2006/relationships" name="Tabla_Original" sheetId="3" r:id="R3565c13331814509"/>
    <x:sheet xmlns:r="http://schemas.openxmlformats.org/officeDocument/2006/relationships" name="Estimacion" sheetId="4" r:id="Reee2d4d37d584a39"/>
    <x:sheet xmlns:r="http://schemas.openxmlformats.org/officeDocument/2006/relationships" name="Instrucciones" sheetId="5" r:id="Rbf224880cb4e4912"/>
    <x:sheet xmlns:r="http://schemas.openxmlformats.org/officeDocument/2006/relationships" name="ANOVA_Tukey" sheetId="6" r:id="R3db380b1d4c94ee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00"/>
  </x:numFmts>
  <x:fonts count="7">
    <x:font>
      <x:sz val="11"/>
      <x:name val="Carlito"/>
    </x:font>
    <x:font>
      <x:b/>
      <x:sz val="11"/>
      <x:color rgb="FFFFFF"/>
      <x:name val="Carlito"/>
    </x:font>
    <x:font>
      <x:b/>
      <x:sz val="11"/>
      <x:color rgb="9C0006"/>
      <x:name val="Carlito"/>
    </x:font>
    <x:font>
      <x:b/>
      <x:sz val="11"/>
      <x:name val="Carlito"/>
    </x:font>
    <x:font>
      <x:b/>
      <x:sz val="13"/>
      <x:color rgb="FFFFFF"/>
      <x:name val="Carlito"/>
    </x:font>
    <x:font>
      <x:b/>
      <x:sz val="14"/>
      <x:color rgb="FFFFFF"/>
      <x:name val="Carlito"/>
    </x:font>
    <x:font>
      <x:b/>
      <x:sz val="11"/>
      <x:color rgb="000000"/>
      <x:name val="Carlito"/>
    </x:font>
  </x:fonts>
  <x:fills count="11">
    <x:fill>
      <x:patternFill patternType="none"/>
    </x:fill>
    <x:fill>
      <x:patternFill patternType="gray125"/>
    </x:fill>
    <x:fill>
      <x:patternFill patternType="solid">
        <x:fgColor rgb="1F4E79"/>
      </x:patternFill>
    </x:fill>
    <x:fill>
      <x:patternFill patternType="solid">
        <x:fgColor rgb="FCE4D6"/>
      </x:patternFill>
    </x:fill>
    <x:fill>
      <x:patternFill patternType="solid">
        <x:fgColor rgb="D9EAF7"/>
      </x:patternFill>
    </x:fill>
    <x:fill>
      <x:patternFill patternType="solid">
        <x:fgColor rgb="1F2937"/>
      </x:patternFill>
    </x:fill>
    <x:fill>
      <x:patternFill patternType="solid">
        <x:fgColor rgb="D9E2F3"/>
      </x:patternFill>
    </x:fill>
    <x:fill>
      <x:patternFill patternType="solid">
        <x:fgColor rgb="F8FAFC"/>
      </x:patternFill>
    </x:fill>
    <x:fill>
      <x:patternFill patternType="solid">
        <x:fgColor rgb="E2F0D9"/>
      </x:patternFill>
    </x:fill>
    <x:fill>
      <x:patternFill patternType="solid">
        <x:fgColor rgb="FCE4D6"/>
      </x:patternFill>
    </x:fill>
    <x:fill>
      <x:patternFill patternType="solid">
        <x:fgColor rgb="FFF2CC"/>
      </x:patternFill>
    </x:fill>
  </x:fills>
  <x:borders count="2">
    <x:border/>
    <x:border/>
  </x:borders>
  <x:cellStyleXfs count="1">
    <x:xf numFmtId="0" fontId="0" fillId="0" borderId="0"/>
  </x:cellStyleXfs>
  <x:cellXfs count="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0" fontId="0" fillId="3" borderId="0" xfId="0" applyNumberFormat="1" applyFont="1" applyFill="1" applyBorder="1" applyAlignment="1">
      <x:alignment vertical="center" wrapText="1"/>
    </x:xf>
    <x:xf numFmtId="200" fontId="0" fillId="3" borderId="1" xfId="0" applyNumberFormat="1" applyFont="1" applyFill="1" applyBorder="1" applyAlignment="1">
      <x:alignment vertical="center" wrapText="1"/>
    </x:xf>
    <x:xf numFmtId="200" fontId="2" fillId="3" borderId="0" xfId="0" applyNumberFormat="1" applyFont="1" applyFill="1" applyBorder="1" applyAlignment="1">
      <x:alignment vertical="center" wrapText="1"/>
    </x:xf>
    <x:xf numFmtId="200" fontId="2" fillId="3" borderId="1" xfId="0" applyNumberFormat="1" applyFont="1" applyFill="1" applyBorder="1" applyAlignment="1">
      <x:alignment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0" fontId="0" fillId="3" borderId="0" xfId="0" applyNumberFormat="1" applyFont="1" applyFill="1" applyBorder="1" applyAlignment="1">
      <x:alignment wrapText="1"/>
    </x:xf>
    <x:xf numFmtId="200" fontId="0"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3" fillId="4"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4" borderId="1" xfId="0" applyNumberFormat="1" applyFont="1" applyFill="1" applyBorder="1" applyAlignment="1">
      <x:alignment wrapText="1"/>
    </x:xf>
    <x:xf numFmtId="0" fontId="2" fillId="3"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3" borderId="0" xfId="0" applyNumberFormat="1" applyFont="1" applyFill="1" applyBorder="1"/>
    <x:xf numFmtId="200" fontId="2" fillId="3" borderId="0" xfId="0" applyNumberFormat="1" applyFont="1" applyFill="1" applyBorder="1"/>
    <x:xf numFmtId="200" fontId="0" fillId="3" borderId="1" xfId="0" applyNumberFormat="1" applyFont="1" applyFill="1" applyBorder="1"/>
    <x:xf numFmtId="200" fontId="2" fillId="3"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3" fillId="8" borderId="0" xfId="0" applyNumberFormat="1" applyFont="1" applyFill="1" applyBorder="1" applyAlignment="1">
      <x:alignment wrapText="1"/>
    </x:xf>
    <x:xf numFmtId="0" fontId="0" fillId="8" borderId="0" xfId="0" applyNumberFormat="1" applyFont="1" applyFill="1" applyBorder="1" applyAlignment="1">
      <x:alignment wrapText="1"/>
    </x:xf>
    <x:xf numFmtId="0" fontId="3" fillId="9"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x:xf numFmtId="0" fontId="0" fillId="10" borderId="0" xfId="0" applyNumberFormat="1" applyFont="1" applyFill="1" applyBorder="1" applyAlignment="1">
      <x:alignment wrapText="1"/>
    </x:xf>
    <x:xf numFmtId="202" fontId="0" fillId="7" borderId="0" xfId="0" applyNumberFormat="1" applyFont="1" applyFill="1" applyBorder="1" applyAlignment="1">
      <x:alignment wrapText="1"/>
    </x:xf>
    <x:xf numFmtId="202" fontId="0" fillId="0" borderId="0" xfId="0" applyNumberFormat="1" applyFont="1" applyFill="1" applyBorder="1" applyAlignment="1">
      <x:alignment wrapText="1"/>
    </x:xf>
    <x:xf numFmtId="202" fontId="0" fillId="9" borderId="0" xfId="0" applyNumberFormat="1" applyFont="1" applyFill="1" applyBorder="1" applyAlignment="1">
      <x:alignment wrapText="1"/>
    </x:xf>
    <x:xf numFmtId="202" fontId="3" fillId="8" borderId="0" xfId="0" applyNumberFormat="1" applyFont="1" applyFill="1" applyBorder="1" applyAlignment="1">
      <x:alignment wrapText="1"/>
    </x:xf>
    <x:xf numFmtId="202" fontId="0" fillId="7" borderId="0" xfId="0" applyNumberFormat="1" applyFont="1" applyFill="1" applyBorder="1"/>
    <x:xf numFmtId="202" fontId="0" fillId="0" borderId="0" xfId="0" applyNumberFormat="1" applyFont="1" applyFill="1" applyBorder="1"/>
    <x:xf numFmtId="202" fontId="6" fillId="6"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0" fontId="0" fillId="7" borderId="0" xfId="0" applyNumberFormat="1" applyFont="1" applyFill="1" applyBorder="1" applyAlignment="1">
      <x:alignment vertical="center" wrapText="1"/>
    </x:xf>
    <x:xf numFmtId="202" fontId="0" fillId="7" borderId="0" xfId="0" applyNumberFormat="1" applyFont="1" applyFill="1" applyBorder="1" applyAlignment="1">
      <x:alignment vertical="center" wrapText="1"/>
    </x:xf>
    <x:xf numFmtId="0" fontId="0" fillId="7" borderId="0" xfId="0" applyNumberFormat="1" applyFont="1" applyFill="1" applyBorder="1" applyAlignment="1">
      <x:alignment vertical="center"/>
    </x:xf>
    <x:xf numFmtId="202" fontId="0" fillId="7" borderId="0" xfId="0" applyNumberFormat="1" applyFont="1" applyFill="1" applyBorder="1" applyAlignment="1">
      <x:alignment vertical="center"/>
    </x:xf>
    <x:xf numFmtId="0" fontId="3" fillId="7"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0" fontId="3" fillId="9" borderId="0" xfId="0" applyNumberFormat="1" applyFont="1" applyFill="1" applyBorder="1" applyAlignment="1">
      <x:alignment vertical="center" wrapText="1"/>
    </x:xf>
    <x:xf numFmtId="202" fontId="0" fillId="9"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202" fontId="3" fillId="8" borderId="0"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x:xf>
    <x:xf numFmtId="200" fontId="0" fillId="7" borderId="0" xfId="0" applyNumberFormat="1" applyFont="1" applyFill="1" applyBorder="1" applyAlignment="1">
      <x:alignment vertical="center" wrapText="1"/>
    </x:xf>
    <x:xf numFmtId="0" fontId="0" fillId="10" borderId="0" xfId="0" applyNumberFormat="1" applyFont="1" applyFill="1" applyBorder="1" applyAlignment="1">
      <x:alignment vertical="center"/>
    </x:xf>
    <x:xf numFmtId="0" fontId="0" fillId="10" borderId="0" xfId="0" applyNumberFormat="1" applyFont="1" applyFill="1" applyBorder="1" applyAlignment="1">
      <x:alignment horizontal="left" vertical="center" wrapText="1"/>
    </x:xf>
    <x:xf numFmtId="0" fontId="0" fillId="10"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88f200e718450e" /><Relationship Type="http://schemas.openxmlformats.org/officeDocument/2006/relationships/theme" Target="/xl/theme/theme1.xml" Id="R4013a14f5e47419c" /><Relationship Type="http://schemas.openxmlformats.org/officeDocument/2006/relationships/sharedStrings" Target="/xl/sharedStrings.xml" Id="R90700df115b94ad1" /><Relationship Type="http://schemas.openxmlformats.org/officeDocument/2006/relationships/worksheet" Target="/xl/worksheets/sheet1.xml" Id="Ra9334fc490854ffe" /><Relationship Type="http://schemas.openxmlformats.org/officeDocument/2006/relationships/worksheet" Target="/xl/worksheets/sheet2.xml" Id="R02cd8da11d104067" /><Relationship Type="http://schemas.openxmlformats.org/officeDocument/2006/relationships/worksheet" Target="/xl/worksheets/sheet3.xml" Id="R3565c13331814509" /><Relationship Type="http://schemas.openxmlformats.org/officeDocument/2006/relationships/worksheet" Target="/xl/worksheets/sheet4.xml" Id="Reee2d4d37d584a39" /><Relationship Type="http://schemas.openxmlformats.org/officeDocument/2006/relationships/worksheet" Target="/xl/worksheets/sheet5.xml" Id="Rbf224880cb4e4912" /><Relationship Type="http://schemas.openxmlformats.org/officeDocument/2006/relationships/worksheet" Target="/xl/worksheets/sheet6.xml" Id="R3db380b1d4c94eef" /></Relationships>
</file>

<file path=xl/tables/table1.xml><?xml version="1.0" encoding="utf-8"?>
<x:table xmlns:x="http://schemas.openxmlformats.org/spreadsheetml/2006/main" id="1" name="DatosMinitab" displayName="DatosMinitab" ref="A1:D26" headerRowCount="1">
  <x:tableColumns count="4">
    <x:tableColumn id="1" name="Vector_Ataque"/>
    <x:tableColumn id="2" name="Analista_Turno"/>
    <x:tableColumn id="3" name="Protocolo"/>
    <x:tableColumn id="4" name="Tasa_Deteccion"/>
  </x:tableColumns>
  <x:tableStyleInfo name="TableStyleMedium2" showRowStripes="1"/>
</x:table>
</file>

<file path=xl/tables/table2.xml><?xml version="1.0" encoding="utf-8"?>
<x:table xmlns:x="http://schemas.openxmlformats.org/spreadsheetml/2006/main" id="2" name="DatosRaw" displayName="DatosRaw" ref="A1:D26" headerRowCount="1">
  <x:tableColumns count="4">
    <x:tableColumn id="1" name="Vector_Ataque"/>
    <x:tableColumn id="2" name="Analista_Turno"/>
    <x:tableColumn id="3" name="Protocolo"/>
    <x:tableColumn id="4" name="Tasa_Detecc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64d44001344e3b" /></Relationships>
</file>

<file path=xl/worksheets/_rels/sheet2.xml.rels>&#65279;<?xml version="1.0" encoding="utf-8"?><Relationships xmlns="http://schemas.openxmlformats.org/package/2006/relationships"><Relationship Type="http://schemas.openxmlformats.org/officeDocument/2006/relationships/table" Target="/xl/tables/table2.xml" Id="Rf88f2298f2b3416b" /></Relationships>
</file>

<file path=xl/worksheets/sheet1.xml><?xml version="1.0" encoding="utf-8"?>
<x:worksheet xmlns:x="http://schemas.openxmlformats.org/spreadsheetml/2006/main">
  <x:sheetFormatPr defaultRowHeight="15"/>
  <x:cols>
    <x:col min="1" max="1" width="25" hidden="0" customWidth="1"/>
    <x:col min="2" max="2" width="16" hidden="0" customWidth="1"/>
    <x:col min="3" max="3" width="44" hidden="0" customWidth="1"/>
    <x:col min="4" max="4" width="15" hidden="0" customWidth="1"/>
  </x:cols>
  <x:sheetData>
    <x:row r="1">
      <x:c r="A1" s="6" t="str">
        <x:v>Vector_Ataque</x:v>
      </x:c>
      <x:c r="B1" s="6" t="str">
        <x:v>Analista_Turno</x:v>
      </x:c>
      <x:c r="C1" s="6" t="str">
        <x:v>Protocolo</x:v>
      </x:c>
      <x:c r="D1" s="6" t="str">
        <x:v>Tasa_Deteccion</x:v>
      </x:c>
    </x:row>
    <x:row r="2">
      <x:c r="A2" s="14" t="str">
        <x:v>V1: Phishing dirigido</x:v>
      </x:c>
      <x:c r="B2" s="14" t="str">
        <x:v>Analista 1</x:v>
      </x:c>
      <x:c r="C2" s="14" t="str">
        <x:v>A: EDR + Threat Intelligence</x:v>
      </x:c>
      <x:c r="D2" s="16" t="n">
        <x:v>88.47</x:v>
      </x:c>
    </x:row>
    <x:row r="3">
      <x:c r="A3" s="14" t="str">
        <x:v>V1: Phishing dirigido</x:v>
      </x:c>
      <x:c r="B3" s="14" t="str">
        <x:v>Analista 2</x:v>
      </x:c>
      <x:c r="C3" s="14" t="str">
        <x:v>B: SOAR automatizado</x:v>
      </x:c>
      <x:c r="D3" s="16" t="n">
        <x:v>85.09</x:v>
      </x:c>
    </x:row>
    <x:row r="4">
      <x:c r="A4" s="14" t="str">
        <x:v>V1: Phishing dirigido</x:v>
      </x:c>
      <x:c r="B4" s="14" t="str">
        <x:v>Analista 3</x:v>
      </x:c>
      <x:c r="C4" s="14" t="str">
        <x:v>C: XDR con correlación cross-dominio</x:v>
      </x:c>
      <x:c r="D4" s="16" t="n">
        <x:v>92.44</x:v>
      </x:c>
    </x:row>
    <x:row r="5">
      <x:c r="A5" s="14" t="str">
        <x:v>V1: Phishing dirigido</x:v>
      </x:c>
      <x:c r="B5" s="14" t="str">
        <x:v>Analista 4</x:v>
      </x:c>
      <x:c r="C5" s="14" t="str">
        <x:v>D: IA generativa para triaje</x:v>
      </x:c>
      <x:c r="D5" s="16" t="n">
        <x:v>82.82</x:v>
      </x:c>
    </x:row>
    <x:row r="6">
      <x:c r="A6" s="14" t="str">
        <x:v>V1: Phishing dirigido</x:v>
      </x:c>
      <x:c r="B6" s="14" t="str">
        <x:v>Analista 5</x:v>
      </x:c>
      <x:c r="C6" s="14" t="str">
        <x:v>E: Zero Trust + microsegmentación dinámica</x:v>
      </x:c>
      <x:c r="D6" s="16" t="n">
        <x:v>96.33</x:v>
      </x:c>
    </x:row>
    <x:row r="7">
      <x:c r="A7" s="14" t="str">
        <x:v>V2: Ransomware</x:v>
      </x:c>
      <x:c r="B7" s="14" t="str">
        <x:v>Analista 1</x:v>
      </x:c>
      <x:c r="C7" s="14" t="str">
        <x:v>B: SOAR automatizado</x:v>
      </x:c>
      <x:c r="D7" s="16" t="n">
        <x:v>86.32</x:v>
      </x:c>
    </x:row>
    <x:row r="8">
      <x:c r="A8" s="14" t="str">
        <x:v>V2: Ransomware</x:v>
      </x:c>
      <x:c r="B8" s="14" t="str">
        <x:v>Analista 2</x:v>
      </x:c>
      <x:c r="C8" s="14" t="str">
        <x:v>C: XDR con correlación cross-dominio</x:v>
      </x:c>
      <x:c r="D8" s="16" t="n">
        <x:v>93.75</x:v>
      </x:c>
    </x:row>
    <x:row r="9">
      <x:c r="A9" s="14" t="str">
        <x:v>V2: Ransomware</x:v>
      </x:c>
      <x:c r="B9" s="14" t="str">
        <x:v>Analista 3</x:v>
      </x:c>
      <x:c r="C9" s="14" t="str">
        <x:v>D: IA generativa para triaje</x:v>
      </x:c>
      <x:c r="D9" s="20" t="n">
        <x:v>84.005</x:v>
      </x:c>
    </x:row>
    <x:row r="10">
      <x:c r="A10" s="14" t="str">
        <x:v>V2: Ransomware</x:v>
      </x:c>
      <x:c r="B10" s="14" t="str">
        <x:v>Analista 4</x:v>
      </x:c>
      <x:c r="C10" s="14" t="str">
        <x:v>E: Zero Trust + microsegmentación dinámica</x:v>
      </x:c>
      <x:c r="D10" s="16" t="n">
        <x:v>96.65</x:v>
      </x:c>
    </x:row>
    <x:row r="11">
      <x:c r="A11" s="14" t="str">
        <x:v>V2: Ransomware</x:v>
      </x:c>
      <x:c r="B11" s="14" t="str">
        <x:v>Analista 5</x:v>
      </x:c>
      <x:c r="C11" s="14" t="str">
        <x:v>A: EDR + Threat Intelligence</x:v>
      </x:c>
      <x:c r="D11" s="16" t="n">
        <x:v>88.04</x:v>
      </x:c>
    </x:row>
    <x:row r="12">
      <x:c r="A12" s="14" t="str">
        <x:v>V3: DDoS</x:v>
      </x:c>
      <x:c r="B12" s="14" t="str">
        <x:v>Analista 1</x:v>
      </x:c>
      <x:c r="C12" s="14" t="str">
        <x:v>C: XDR con correlación cross-dominio</x:v>
      </x:c>
      <x:c r="D12" s="16" t="n">
        <x:v>91.82</x:v>
      </x:c>
    </x:row>
    <x:row r="13">
      <x:c r="A13" s="14" t="str">
        <x:v>V3: DDoS</x:v>
      </x:c>
      <x:c r="B13" s="14" t="str">
        <x:v>Analista 2</x:v>
      </x:c>
      <x:c r="C13" s="14" t="str">
        <x:v>D: IA generativa para triaje</x:v>
      </x:c>
      <x:c r="D13" s="16" t="n">
        <x:v>82.35</x:v>
      </x:c>
    </x:row>
    <x:row r="14">
      <x:c r="A14" s="14" t="str">
        <x:v>V3: DDoS</x:v>
      </x:c>
      <x:c r="B14" s="14" t="str">
        <x:v>Analista 3</x:v>
      </x:c>
      <x:c r="C14" s="14" t="str">
        <x:v>E: Zero Trust + microsegmentación dinámica</x:v>
      </x:c>
      <x:c r="D14" s="16" t="n">
        <x:v>96.15</x:v>
      </x:c>
    </x:row>
    <x:row r="15">
      <x:c r="A15" s="14" t="str">
        <x:v>V3: DDoS</x:v>
      </x:c>
      <x:c r="B15" s="14" t="str">
        <x:v>Analista 4</x:v>
      </x:c>
      <x:c r="C15" s="14" t="str">
        <x:v>A: EDR + Threat Intelligence</x:v>
      </x:c>
      <x:c r="D15" s="16" t="n">
        <x:v>86.84</x:v>
      </x:c>
    </x:row>
    <x:row r="16">
      <x:c r="A16" s="14" t="str">
        <x:v>V3: DDoS</x:v>
      </x:c>
      <x:c r="B16" s="14" t="str">
        <x:v>Analista 5</x:v>
      </x:c>
      <x:c r="C16" s="14" t="str">
        <x:v>B: SOAR automatizado</x:v>
      </x:c>
      <x:c r="D16" s="16" t="n">
        <x:v>85.26</x:v>
      </x:c>
    </x:row>
    <x:row r="17">
      <x:c r="A17" s="14" t="str">
        <x:v>V4: Zero-day</x:v>
      </x:c>
      <x:c r="B17" s="14" t="str">
        <x:v>Analista 1</x:v>
      </x:c>
      <x:c r="C17" s="14" t="str">
        <x:v>D: IA generativa para triaje</x:v>
      </x:c>
      <x:c r="D17" s="16" t="n">
        <x:v>83.87</x:v>
      </x:c>
    </x:row>
    <x:row r="18">
      <x:c r="A18" s="14" t="str">
        <x:v>V4: Zero-day</x:v>
      </x:c>
      <x:c r="B18" s="14" t="str">
        <x:v>Analista 2</x:v>
      </x:c>
      <x:c r="C18" s="14" t="str">
        <x:v>E: Zero Trust + microsegmentación dinámica</x:v>
      </x:c>
      <x:c r="D18" s="16" t="n">
        <x:v>95.64</x:v>
      </x:c>
    </x:row>
    <x:row r="19">
      <x:c r="A19" s="14" t="str">
        <x:v>V4: Zero-day</x:v>
      </x:c>
      <x:c r="B19" s="14" t="str">
        <x:v>Analista 3</x:v>
      </x:c>
      <x:c r="C19" s="14" t="str">
        <x:v>A: EDR + Threat Intelligence</x:v>
      </x:c>
      <x:c r="D19" s="16" t="n">
        <x:v>88.62</x:v>
      </x:c>
    </x:row>
    <x:row r="20">
      <x:c r="A20" s="14" t="str">
        <x:v>V4: Zero-day</x:v>
      </x:c>
      <x:c r="B20" s="14" t="str">
        <x:v>Analista 4</x:v>
      </x:c>
      <x:c r="C20" s="14" t="str">
        <x:v>B: SOAR automatizado</x:v>
      </x:c>
      <x:c r="D20" s="16" t="n">
        <x:v>87.08</x:v>
      </x:c>
    </x:row>
    <x:row r="21">
      <x:c r="A21" s="14" t="str">
        <x:v>V4: Zero-day</x:v>
      </x:c>
      <x:c r="B21" s="14" t="str">
        <x:v>Analista 5</x:v>
      </x:c>
      <x:c r="C21" s="14" t="str">
        <x:v>C: XDR con correlación cross-dominio</x:v>
      </x:c>
      <x:c r="D21" s="16" t="n">
        <x:v>93.18</x:v>
      </x:c>
    </x:row>
    <x:row r="22">
      <x:c r="A22" s="14" t="str">
        <x:v>V5: Supply-chain</x:v>
      </x:c>
      <x:c r="B22" s="14" t="str">
        <x:v>Analista 1</x:v>
      </x:c>
      <x:c r="C22" s="14" t="str">
        <x:v>E: Zero Trust + microsegmentación dinámica</x:v>
      </x:c>
      <x:c r="D22" s="16" t="n">
        <x:v>95.72</x:v>
      </x:c>
    </x:row>
    <x:row r="23">
      <x:c r="A23" s="14" t="str">
        <x:v>V5: Supply-chain</x:v>
      </x:c>
      <x:c r="B23" s="14" t="str">
        <x:v>Analista 2</x:v>
      </x:c>
      <x:c r="C23" s="14" t="str">
        <x:v>A: EDR + Threat Intelligence</x:v>
      </x:c>
      <x:c r="D23" s="16" t="n">
        <x:v>87.84</x:v>
      </x:c>
    </x:row>
    <x:row r="24">
      <x:c r="A24" s="14" t="str">
        <x:v>V5: Supply-chain</x:v>
      </x:c>
      <x:c r="B24" s="14" t="str">
        <x:v>Analista 3</x:v>
      </x:c>
      <x:c r="C24" s="14" t="str">
        <x:v>B: SOAR automatizado</x:v>
      </x:c>
      <x:c r="D24" s="16" t="n">
        <x:v>86.54</x:v>
      </x:c>
    </x:row>
    <x:row r="25">
      <x:c r="A25" s="14" t="str">
        <x:v>V5: Supply-chain</x:v>
      </x:c>
      <x:c r="B25" s="14" t="str">
        <x:v>Analista 4</x:v>
      </x:c>
      <x:c r="C25" s="14" t="str">
        <x:v>C: XDR con correlación cross-dominio</x:v>
      </x:c>
      <x:c r="D25" s="16" t="n">
        <x:v>92.37</x:v>
      </x:c>
    </x:row>
    <x:row r="26">
      <x:c r="A26" s="14" t="str">
        <x:v>V5: Supply-chain</x:v>
      </x:c>
      <x:c r="B26" s="14" t="str">
        <x:v>Analista 5</x:v>
      </x:c>
      <x:c r="C26" s="14" t="str">
        <x:v>D: IA generativa para triaje</x:v>
      </x:c>
      <x:c r="D26" s="16" t="n">
        <x:v>82.23</x:v>
      </x:c>
    </x:row>
  </x:sheetData>
  <x:pageMargins left="0.7" right="0.7" top="0.75" bottom="0.75" header="0.3" footer="0.3"/>
  <x:tableParts count="1">
    <x:tablePart xmlns:r="http://schemas.openxmlformats.org/officeDocument/2006/relationships" r:id="Rdf64d44001344e3b"/>
  </x:tableParts>
</x:worksheet>
</file>

<file path=xl/worksheets/sheet2.xml><?xml version="1.0" encoding="utf-8"?>
<x:worksheet xmlns:x="http://schemas.openxmlformats.org/spreadsheetml/2006/main">
  <x:sheetFormatPr defaultRowHeight="15"/>
  <x:cols>
    <x:col min="1" max="1" width="25" hidden="0" customWidth="1"/>
    <x:col min="2" max="2" width="16" hidden="0" customWidth="1"/>
    <x:col min="3" max="3" width="44" hidden="0" customWidth="1"/>
    <x:col min="4" max="4" width="15" hidden="0" customWidth="1"/>
  </x:cols>
  <x:sheetData>
    <x:row r="1">
      <x:c r="A1" s="6" t="str">
        <x:v>Vector_Ataque</x:v>
      </x:c>
      <x:c r="B1" s="6" t="str">
        <x:v>Analista_Turno</x:v>
      </x:c>
      <x:c r="C1" s="6" t="str">
        <x:v>Protocolo</x:v>
      </x:c>
      <x:c r="D1" s="6" t="str">
        <x:v>Tasa_Deteccion</x:v>
      </x:c>
    </x:row>
    <x:row r="2">
      <x:c r="A2" s="12" t="str">
        <x:v>V1: Phishing dirigido</x:v>
      </x:c>
      <x:c r="B2" s="12" t="str">
        <x:v>Analista 1</x:v>
      </x:c>
      <x:c r="C2" s="12" t="str">
        <x:v>A: EDR + Threat Intelligence</x:v>
      </x:c>
      <x:c r="D2" s="22" t="n">
        <x:v>88.47</x:v>
      </x:c>
    </x:row>
    <x:row r="3">
      <x:c r="A3" s="12" t="str">
        <x:v>V1: Phishing dirigido</x:v>
      </x:c>
      <x:c r="B3" s="12" t="str">
        <x:v>Analista 2</x:v>
      </x:c>
      <x:c r="C3" s="12" t="str">
        <x:v>B: SOAR automatizado</x:v>
      </x:c>
      <x:c r="D3" s="22" t="n">
        <x:v>85.09</x:v>
      </x:c>
    </x:row>
    <x:row r="4">
      <x:c r="A4" s="12" t="str">
        <x:v>V1: Phishing dirigido</x:v>
      </x:c>
      <x:c r="B4" s="12" t="str">
        <x:v>Analista 3</x:v>
      </x:c>
      <x:c r="C4" s="12" t="str">
        <x:v>C: XDR con correlación cross-dominio</x:v>
      </x:c>
      <x:c r="D4" s="22" t="n">
        <x:v>92.44</x:v>
      </x:c>
    </x:row>
    <x:row r="5">
      <x:c r="A5" s="12" t="str">
        <x:v>V1: Phishing dirigido</x:v>
      </x:c>
      <x:c r="B5" s="12" t="str">
        <x:v>Analista 4</x:v>
      </x:c>
      <x:c r="C5" s="12" t="str">
        <x:v>D: IA generativa para triaje</x:v>
      </x:c>
      <x:c r="D5" s="22" t="n">
        <x:v>82.82</x:v>
      </x:c>
    </x:row>
    <x:row r="6">
      <x:c r="A6" s="12" t="str">
        <x:v>V1: Phishing dirigido</x:v>
      </x:c>
      <x:c r="B6" s="12" t="str">
        <x:v>Analista 5</x:v>
      </x:c>
      <x:c r="C6" s="12" t="str">
        <x:v>E: Zero Trust + microsegmentación dinámica</x:v>
      </x:c>
      <x:c r="D6" s="22" t="n">
        <x:v>96.33</x:v>
      </x:c>
    </x:row>
    <x:row r="7">
      <x:c r="A7" s="12" t="str">
        <x:v>V2: Ransomware</x:v>
      </x:c>
      <x:c r="B7" s="12" t="str">
        <x:v>Analista 1</x:v>
      </x:c>
      <x:c r="C7" s="12" t="str">
        <x:v>B: SOAR automatizado</x:v>
      </x:c>
      <x:c r="D7" s="22" t="n">
        <x:v>86.32</x:v>
      </x:c>
    </x:row>
    <x:row r="8">
      <x:c r="A8" s="12" t="str">
        <x:v>V2: Ransomware</x:v>
      </x:c>
      <x:c r="B8" s="12" t="str">
        <x:v>Analista 2</x:v>
      </x:c>
      <x:c r="C8" s="12" t="str">
        <x:v>C: XDR con correlación cross-dominio</x:v>
      </x:c>
      <x:c r="D8" s="22" t="n">
        <x:v>93.75</x:v>
      </x:c>
    </x:row>
    <x:row r="9">
      <x:c r="A9" s="12" t="str">
        <x:v>V2: Ransomware</x:v>
      </x:c>
      <x:c r="B9" s="12" t="str">
        <x:v>Analista 3</x:v>
      </x:c>
      <x:c r="C9" s="12" t="str">
        <x:v>D: IA generativa para triaje</x:v>
      </x:c>
      <x:c r="D9" s="24"/>
    </x:row>
    <x:row r="10">
      <x:c r="A10" s="12" t="str">
        <x:v>V2: Ransomware</x:v>
      </x:c>
      <x:c r="B10" s="12" t="str">
        <x:v>Analista 4</x:v>
      </x:c>
      <x:c r="C10" s="12" t="str">
        <x:v>E: Zero Trust + microsegmentación dinámica</x:v>
      </x:c>
      <x:c r="D10" s="22" t="n">
        <x:v>96.65</x:v>
      </x:c>
    </x:row>
    <x:row r="11">
      <x:c r="A11" s="12" t="str">
        <x:v>V2: Ransomware</x:v>
      </x:c>
      <x:c r="B11" s="12" t="str">
        <x:v>Analista 5</x:v>
      </x:c>
      <x:c r="C11" s="12" t="str">
        <x:v>A: EDR + Threat Intelligence</x:v>
      </x:c>
      <x:c r="D11" s="22" t="n">
        <x:v>88.04</x:v>
      </x:c>
    </x:row>
    <x:row r="12">
      <x:c r="A12" s="12" t="str">
        <x:v>V3: DDoS</x:v>
      </x:c>
      <x:c r="B12" s="12" t="str">
        <x:v>Analista 1</x:v>
      </x:c>
      <x:c r="C12" s="12" t="str">
        <x:v>C: XDR con correlación cross-dominio</x:v>
      </x:c>
      <x:c r="D12" s="22" t="n">
        <x:v>91.82</x:v>
      </x:c>
    </x:row>
    <x:row r="13">
      <x:c r="A13" s="12" t="str">
        <x:v>V3: DDoS</x:v>
      </x:c>
      <x:c r="B13" s="12" t="str">
        <x:v>Analista 2</x:v>
      </x:c>
      <x:c r="C13" s="12" t="str">
        <x:v>D: IA generativa para triaje</x:v>
      </x:c>
      <x:c r="D13" s="22" t="n">
        <x:v>82.35</x:v>
      </x:c>
    </x:row>
    <x:row r="14">
      <x:c r="A14" s="12" t="str">
        <x:v>V3: DDoS</x:v>
      </x:c>
      <x:c r="B14" s="12" t="str">
        <x:v>Analista 3</x:v>
      </x:c>
      <x:c r="C14" s="12" t="str">
        <x:v>E: Zero Trust + microsegmentación dinámica</x:v>
      </x:c>
      <x:c r="D14" s="22" t="n">
        <x:v>96.15</x:v>
      </x:c>
    </x:row>
    <x:row r="15">
      <x:c r="A15" s="12" t="str">
        <x:v>V3: DDoS</x:v>
      </x:c>
      <x:c r="B15" s="12" t="str">
        <x:v>Analista 4</x:v>
      </x:c>
      <x:c r="C15" s="12" t="str">
        <x:v>A: EDR + Threat Intelligence</x:v>
      </x:c>
      <x:c r="D15" s="22" t="n">
        <x:v>86.84</x:v>
      </x:c>
    </x:row>
    <x:row r="16">
      <x:c r="A16" s="12" t="str">
        <x:v>V3: DDoS</x:v>
      </x:c>
      <x:c r="B16" s="12" t="str">
        <x:v>Analista 5</x:v>
      </x:c>
      <x:c r="C16" s="12" t="str">
        <x:v>B: SOAR automatizado</x:v>
      </x:c>
      <x:c r="D16" s="22" t="n">
        <x:v>85.26</x:v>
      </x:c>
    </x:row>
    <x:row r="17">
      <x:c r="A17" s="12" t="str">
        <x:v>V4: Zero-day</x:v>
      </x:c>
      <x:c r="B17" s="12" t="str">
        <x:v>Analista 1</x:v>
      </x:c>
      <x:c r="C17" s="12" t="str">
        <x:v>D: IA generativa para triaje</x:v>
      </x:c>
      <x:c r="D17" s="22" t="n">
        <x:v>83.87</x:v>
      </x:c>
    </x:row>
    <x:row r="18">
      <x:c r="A18" s="12" t="str">
        <x:v>V4: Zero-day</x:v>
      </x:c>
      <x:c r="B18" s="12" t="str">
        <x:v>Analista 2</x:v>
      </x:c>
      <x:c r="C18" s="12" t="str">
        <x:v>E: Zero Trust + microsegmentación dinámica</x:v>
      </x:c>
      <x:c r="D18" s="22" t="n">
        <x:v>95.64</x:v>
      </x:c>
    </x:row>
    <x:row r="19">
      <x:c r="A19" s="12" t="str">
        <x:v>V4: Zero-day</x:v>
      </x:c>
      <x:c r="B19" s="12" t="str">
        <x:v>Analista 3</x:v>
      </x:c>
      <x:c r="C19" s="12" t="str">
        <x:v>A: EDR + Threat Intelligence</x:v>
      </x:c>
      <x:c r="D19" s="22" t="n">
        <x:v>88.62</x:v>
      </x:c>
    </x:row>
    <x:row r="20">
      <x:c r="A20" s="12" t="str">
        <x:v>V4: Zero-day</x:v>
      </x:c>
      <x:c r="B20" s="12" t="str">
        <x:v>Analista 4</x:v>
      </x:c>
      <x:c r="C20" s="12" t="str">
        <x:v>B: SOAR automatizado</x:v>
      </x:c>
      <x:c r="D20" s="22" t="n">
        <x:v>87.08</x:v>
      </x:c>
    </x:row>
    <x:row r="21">
      <x:c r="A21" s="12" t="str">
        <x:v>V4: Zero-day</x:v>
      </x:c>
      <x:c r="B21" s="12" t="str">
        <x:v>Analista 5</x:v>
      </x:c>
      <x:c r="C21" s="12" t="str">
        <x:v>C: XDR con correlación cross-dominio</x:v>
      </x:c>
      <x:c r="D21" s="22" t="n">
        <x:v>93.18</x:v>
      </x:c>
    </x:row>
    <x:row r="22">
      <x:c r="A22" s="12" t="str">
        <x:v>V5: Supply-chain</x:v>
      </x:c>
      <x:c r="B22" s="12" t="str">
        <x:v>Analista 1</x:v>
      </x:c>
      <x:c r="C22" s="12" t="str">
        <x:v>E: Zero Trust + microsegmentación dinámica</x:v>
      </x:c>
      <x:c r="D22" s="22" t="n">
        <x:v>95.72</x:v>
      </x:c>
    </x:row>
    <x:row r="23">
      <x:c r="A23" s="12" t="str">
        <x:v>V5: Supply-chain</x:v>
      </x:c>
      <x:c r="B23" s="12" t="str">
        <x:v>Analista 2</x:v>
      </x:c>
      <x:c r="C23" s="12" t="str">
        <x:v>A: EDR + Threat Intelligence</x:v>
      </x:c>
      <x:c r="D23" s="22" t="n">
        <x:v>87.84</x:v>
      </x:c>
    </x:row>
    <x:row r="24">
      <x:c r="A24" s="12" t="str">
        <x:v>V5: Supply-chain</x:v>
      </x:c>
      <x:c r="B24" s="12" t="str">
        <x:v>Analista 3</x:v>
      </x:c>
      <x:c r="C24" s="12" t="str">
        <x:v>B: SOAR automatizado</x:v>
      </x:c>
      <x:c r="D24" s="22" t="n">
        <x:v>86.54</x:v>
      </x:c>
    </x:row>
    <x:row r="25">
      <x:c r="A25" s="12" t="str">
        <x:v>V5: Supply-chain</x:v>
      </x:c>
      <x:c r="B25" s="12" t="str">
        <x:v>Analista 4</x:v>
      </x:c>
      <x:c r="C25" s="12" t="str">
        <x:v>C: XDR con correlación cross-dominio</x:v>
      </x:c>
      <x:c r="D25" s="22" t="n">
        <x:v>92.37</x:v>
      </x:c>
    </x:row>
    <x:row r="26">
      <x:c r="A26" s="12" t="str">
        <x:v>V5: Supply-chain</x:v>
      </x:c>
      <x:c r="B26" s="12" t="str">
        <x:v>Analista 5</x:v>
      </x:c>
      <x:c r="C26" s="12" t="str">
        <x:v>D: IA generativa para triaje</x:v>
      </x:c>
      <x:c r="D26" s="22" t="n">
        <x:v>82.23</x:v>
      </x:c>
    </x:row>
  </x:sheetData>
  <x:pageMargins left="0.7" right="0.7" top="0.75" bottom="0.75" header="0.3" footer="0.3"/>
  <x:tableParts count="1">
    <x:tablePart xmlns:r="http://schemas.openxmlformats.org/officeDocument/2006/relationships" r:id="Rf88f2298f2b3416b"/>
  </x:tableParts>
</x:worksheet>
</file>

<file path=xl/worksheets/sheet3.xml><?xml version="1.0" encoding="utf-8"?>
<x:worksheet xmlns:x="http://schemas.openxmlformats.org/spreadsheetml/2006/main">
  <x:sheetFormatPr defaultRowHeight="15"/>
  <x:cols>
    <x:col min="1" max="1" width="25" hidden="0" customWidth="1"/>
    <x:col min="2" max="2" width="18" hidden="0" customWidth="1"/>
    <x:col min="3" max="3" width="18" hidden="0" customWidth="1"/>
    <x:col min="4" max="4" width="18" hidden="0" customWidth="1"/>
    <x:col min="5" max="5" width="18" hidden="0" customWidth="1"/>
    <x:col min="6" max="6" width="18" hidden="0" customWidth="1"/>
  </x:cols>
  <x:sheetData>
    <x:row r="1">
      <x:c r="A1" s="6" t="str">
        <x:v>Vector \ Analista</x:v>
      </x:c>
      <x:c r="B1" s="6" t="str">
        <x:v>Analista 1</x:v>
      </x:c>
      <x:c r="C1" s="6" t="str">
        <x:v>Analista 2</x:v>
      </x:c>
      <x:c r="D1" s="6" t="str">
        <x:v>Analista 3</x:v>
      </x:c>
      <x:c r="E1" s="6" t="str">
        <x:v>Analista 4</x:v>
      </x:c>
      <x:c r="F1" s="6" t="str">
        <x:v>Analista 5</x:v>
      </x:c>
    </x:row>
    <x:row r="2">
      <x:c r="A2" s="34" t="str">
        <x:v>V1: Phishing dirigido</x:v>
      </x:c>
      <x:c r="B2" s="12" t="str">
        <x:v>88.47 (A)</x:v>
      </x:c>
      <x:c r="C2" s="12" t="str">
        <x:v>85.09 (B)</x:v>
      </x:c>
      <x:c r="D2" s="12" t="str">
        <x:v>92.44 (C)</x:v>
      </x:c>
      <x:c r="E2" s="12" t="str">
        <x:v>82.82 (D)</x:v>
      </x:c>
      <x:c r="F2" s="12" t="str">
        <x:v>96.33 (E)</x:v>
      </x:c>
    </x:row>
    <x:row r="3">
      <x:c r="A3" s="34" t="str">
        <x:v>V2: Ransomware</x:v>
      </x:c>
      <x:c r="B3" s="12" t="str">
        <x:v>86.32 (B)</x:v>
      </x:c>
      <x:c r="C3" s="12" t="str">
        <x:v>93.75 (C)</x:v>
      </x:c>
      <x:c r="D3" s="35" t="str">
        <x:v>PERDIDO (D)</x:v>
      </x:c>
      <x:c r="E3" s="12" t="str">
        <x:v>96.65 (E)</x:v>
      </x:c>
      <x:c r="F3" s="12" t="str">
        <x:v>88.04 (A)</x:v>
      </x:c>
    </x:row>
    <x:row r="4">
      <x:c r="A4" s="34" t="str">
        <x:v>V3: DDoS</x:v>
      </x:c>
      <x:c r="B4" s="12" t="str">
        <x:v>91.82 (C)</x:v>
      </x:c>
      <x:c r="C4" s="12" t="str">
        <x:v>82.35 (D)</x:v>
      </x:c>
      <x:c r="D4" s="12" t="str">
        <x:v>96.15 (E)</x:v>
      </x:c>
      <x:c r="E4" s="12" t="str">
        <x:v>86.84 (A)</x:v>
      </x:c>
      <x:c r="F4" s="12" t="str">
        <x:v>85.26 (B)</x:v>
      </x:c>
    </x:row>
    <x:row r="5">
      <x:c r="A5" s="34" t="str">
        <x:v>V4: Zero-day</x:v>
      </x:c>
      <x:c r="B5" s="12" t="str">
        <x:v>83.87 (D)</x:v>
      </x:c>
      <x:c r="C5" s="12" t="str">
        <x:v>95.64 (E)</x:v>
      </x:c>
      <x:c r="D5" s="12" t="str">
        <x:v>88.62 (A)</x:v>
      </x:c>
      <x:c r="E5" s="12" t="str">
        <x:v>87.08 (B)</x:v>
      </x:c>
      <x:c r="F5" s="12" t="str">
        <x:v>93.18 (C)</x:v>
      </x:c>
    </x:row>
    <x:row r="6">
      <x:c r="A6" s="34" t="str">
        <x:v>V5: Supply-chain</x:v>
      </x:c>
      <x:c r="B6" s="12" t="str">
        <x:v>95.72 (E)</x:v>
      </x:c>
      <x:c r="C6" s="12" t="str">
        <x:v>87.84 (A)</x:v>
      </x:c>
      <x:c r="D6" s="12" t="str">
        <x:v>86.54 (B)</x:v>
      </x:c>
      <x:c r="E6" s="12" t="str">
        <x:v>92.37 (C)</x:v>
      </x:c>
      <x:c r="F6" s="12" t="str">
        <x:v>82.23 (D)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6" hidden="0" customWidth="1"/>
    <x:col min="2" max="2" width="36" hidden="0" customWidth="1"/>
  </x:cols>
  <x:sheetData>
    <x:row r="1">
      <x:c r="A1" s="39" t="str">
        <x:v>Estimación del dato perdido para Cuadrado Latino 5x5</x:v>
      </x:c>
      <x:c r="B1" t="str"/>
    </x:row>
    <x:row r="3">
      <x:c r="A3" s="27" t="str">
        <x:v>Orden del cuadrado (p)</x:v>
      </x:c>
      <x:c r="B3" s="44" t="n">
        <x:v>5</x:v>
      </x:c>
    </x:row>
    <x:row r="4">
      <x:c r="A4" s="27" t="str">
        <x:v>Fila del dato perdido</x:v>
      </x:c>
      <x:c r="B4" s="42" t="str">
        <x:v>V2: Ransomware</x:v>
      </x:c>
    </x:row>
    <x:row r="5">
      <x:c r="A5" s="27" t="str">
        <x:v>Columna del dato perdido</x:v>
      </x:c>
      <x:c r="B5" s="42" t="str">
        <x:v>Analista 3</x:v>
      </x:c>
    </x:row>
    <x:row r="6">
      <x:c r="A6" s="27" t="str">
        <x:v>Tratamiento perdido</x:v>
      </x:c>
      <x:c r="B6" s="42" t="str">
        <x:v>D: IA generativa para triaje</x:v>
      </x:c>
    </x:row>
    <x:row r="7">
      <x:c r="A7" s="27" t="str">
        <x:v>Total fila sin dato perdido</x:v>
      </x:c>
      <x:c r="B7" s="42" t="n">
        <x:v>364.76</x:v>
      </x:c>
    </x:row>
    <x:row r="8">
      <x:c r="A8" s="27" t="str">
        <x:v>Total columna sin dato perdido</x:v>
      </x:c>
      <x:c r="B8" s="42" t="n">
        <x:v>363.75</x:v>
      </x:c>
    </x:row>
    <x:row r="9">
      <x:c r="A9" s="27" t="str">
        <x:v>Total tratamiento sin dato perdido</x:v>
      </x:c>
      <x:c r="B9" s="42" t="n">
        <x:v>331.27</x:v>
      </x:c>
    </x:row>
    <x:row r="10">
      <x:c r="A10" s="27" t="str">
        <x:v>Total general sin dato perdido</x:v>
      </x:c>
      <x:c r="B10" s="42" t="n">
        <x:v>2145.42</x:v>
      </x:c>
    </x:row>
    <x:row r="11">
      <x:c r="A11" s="27" t="str">
        <x:v>Dato estimado</x:v>
      </x:c>
      <x:c r="B11" s="47" t="n">
        <x:v>84.01</x:v>
      </x:c>
    </x:row>
    <x:row r="13">
      <x:c r="A13" s="27" t="str">
        <x:v>Fórmula usada</x:v>
      </x:c>
      <x:c r="B13" s="12" t="str">
        <x:v>x = [p(Fila + Columna + Tratamiento) - 2G] / [(p-1)(p-2)]</x:v>
      </x:c>
    </x:row>
  </x:sheetData>
  <x:mergeCells>
    <x:mergeCell ref="A1:B1"/>
  </x:mergeCells>
  <x:pageMargins left="0.7" right="0.7" top="0.75" bottom="0.75" header="0.3" footer="0.3"/>
</x:worksheet>
</file>

<file path=xl/worksheets/sheet5.xml><?xml version="1.0" encoding="utf-8"?>
<x:worksheet xmlns:x="http://schemas.openxmlformats.org/spreadsheetml/2006/main">
  <x:sheetFormatPr defaultRowHeight="15"/>
  <x:cols>
    <x:col min="1" max="1" width="95" hidden="0" customWidth="1"/>
  </x:cols>
  <x:sheetData>
    <x:row r="1">
      <x:c r="A1" s="38" t="str">
        <x:v>Uso en Minitab</x:v>
      </x:c>
    </x:row>
    <x:row r="2">
      <x:c r="A2" s="12" t="str">
        <x:v>Copiar desde la hoja Datos_Minitab las columnas A:D, incluyendo encabezados.</x:v>
      </x:c>
    </x:row>
    <x:row r="3">
      <x:c r="A3" s="12" t="str">
        <x:v>Modelo: Tasa_Deteccion como respuesta; Protocolo como tratamiento; Vector_Ataque y Analista_Turno como bloques.</x:v>
      </x:c>
    </x:row>
    <x:row r="4">
      <x:c r="A4" s="12" t="str">
        <x:v>La celda perdida V2 × Analista 3 con Protocolo D fue estimada como 84.01 y está resaltada en la hoja principal.</x:v>
      </x:c>
    </x:row>
    <x:row r="5">
      <x:c r="A5" t="str">
        <x:v>Se agregó la hoja ANOVA_Tukey con tabla ANOVA y prueba de Tukey para el protocolo de defensa.</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3" hidden="0" customWidth="1"/>
    <x:col min="2" max="2" width="15" hidden="0" customWidth="1"/>
    <x:col min="3" max="3" width="10" hidden="0" customWidth="1"/>
    <x:col min="4" max="4" width="12" hidden="0" customWidth="1"/>
    <x:col min="5" max="5" width="14" hidden="0" customWidth="1"/>
    <x:col min="6" max="6" width="12" hidden="0" customWidth="1"/>
    <x:col min="7" max="7" width="28" hidden="0" customWidth="1"/>
    <x:col min="10" max="10" width="22" hidden="0" customWidth="1"/>
    <x:col min="11" max="11" width="12" hidden="0" customWidth="1"/>
    <x:col min="13" max="13" width="15" hidden="0" customWidth="1"/>
    <x:col min="14" max="14" width="12" hidden="0" customWidth="1"/>
    <x:col min="16" max="16" width="10" hidden="0" customWidth="1"/>
    <x:col min="17" max="17" width="39" hidden="0" customWidth="1"/>
    <x:col min="18" max="18" width="12" hidden="0" customWidth="1"/>
    <x:col min="19" max="19" width="12" hidden="0" customWidth="1"/>
    <x:col min="20" max="20" width="14" hidden="0" customWidth="1"/>
  </x:cols>
  <x:sheetData>
    <x:row r="1" ht="26" customHeight="1">
      <x:c r="A1" s="54" t="str">
        <x:v>ANOVA y Prueba de Tukey — Cuadrado Latino 5×5</x:v>
      </x:c>
      <x:c r="B1" s="54"/>
      <x:c r="C1" s="54"/>
      <x:c r="D1" s="54"/>
      <x:c r="E1" s="54"/>
      <x:c r="F1" s="54"/>
      <x:c r="G1" s="54"/>
      <x:c r="H1" s="76"/>
      <x:c r="I1" s="76"/>
      <x:c r="J1" s="76"/>
      <x:c r="K1" s="90"/>
      <x:c r="L1" s="76"/>
      <x:c r="M1" s="76"/>
      <x:c r="N1" s="90"/>
      <x:c r="O1" s="76"/>
      <x:c r="P1" s="76"/>
      <x:c r="Q1" s="76"/>
      <x:c r="R1" s="90"/>
      <x:c r="S1" s="90"/>
      <x:c r="T1" s="90"/>
    </x:row>
    <x:row r="2">
      <x:c r="A2" s="76"/>
      <x:c r="B2" s="77"/>
      <x:c r="C2" s="76"/>
      <x:c r="D2" s="76"/>
      <x:c r="E2" s="76"/>
      <x:c r="F2" s="76"/>
      <x:c r="G2" s="76"/>
      <x:c r="H2" s="76"/>
      <x:c r="I2" s="76"/>
      <x:c r="J2" s="76"/>
      <x:c r="K2" s="76"/>
      <x:c r="L2" s="76"/>
      <x:c r="M2" s="76"/>
      <x:c r="N2" s="76"/>
      <x:c r="O2" s="76"/>
      <x:c r="P2" s="76"/>
      <x:c r="Q2" s="76"/>
      <x:c r="R2" s="76"/>
      <x:c r="S2" s="76"/>
      <x:c r="T2" s="76"/>
    </x:row>
    <x:row r="3">
      <x:c r="A3" s="59" t="str">
        <x:v>Parámetro</x:v>
      </x:c>
      <x:c r="B3" s="75" t="str">
        <x:v>Valor</x:v>
      </x:c>
      <x:c r="C3" s="76"/>
      <x:c r="D3" s="76"/>
      <x:c r="E3" s="76"/>
      <x:c r="F3" s="76"/>
      <x:c r="G3" s="76"/>
      <x:c r="H3" s="76"/>
      <x:c r="I3" s="76"/>
      <x:c r="J3" s="59" t="str">
        <x:v>Totales por Vector</x:v>
      </x:c>
      <x:c r="K3" s="59"/>
      <x:c r="L3" s="76"/>
      <x:c r="M3" s="59" t="str">
        <x:v>Totales por Analista</x:v>
      </x:c>
      <x:c r="N3" s="59"/>
      <x:c r="O3" s="76"/>
      <x:c r="P3" s="59" t="str">
        <x:v>Medias por Protocolo</x:v>
      </x:c>
      <x:c r="Q3" s="59"/>
      <x:c r="R3" s="59"/>
      <x:c r="S3" s="59"/>
      <x:c r="T3" s="59"/>
    </x:row>
    <x:row r="4">
      <x:c r="A4" s="78" t="str">
        <x:v>α</x:v>
      </x:c>
      <x:c r="B4" s="91" t="n">
        <x:v>0.05</x:v>
      </x:c>
      <x:c r="C4" s="76"/>
      <x:c r="D4" s="76"/>
      <x:c r="E4" s="76"/>
      <x:c r="F4" s="76"/>
      <x:c r="G4" s="76"/>
      <x:c r="H4" s="76"/>
      <x:c r="I4" s="76"/>
      <x:c r="J4" s="59" t="str">
        <x:v>Vector</x:v>
      </x:c>
      <x:c r="K4" s="59" t="str">
        <x:v>Total</x:v>
      </x:c>
      <x:c r="L4" s="76"/>
      <x:c r="M4" s="59" t="str">
        <x:v>Analista</x:v>
      </x:c>
      <x:c r="N4" s="59" t="str">
        <x:v>Total</x:v>
      </x:c>
      <x:c r="O4" s="76"/>
      <x:c r="P4" s="59" t="str">
        <x:v>Código</x:v>
      </x:c>
      <x:c r="Q4" s="59" t="str">
        <x:v>Protocolo</x:v>
      </x:c>
      <x:c r="R4" s="59" t="str">
        <x:v>Total</x:v>
      </x:c>
      <x:c r="S4" s="59" t="str">
        <x:v>Media</x:v>
      </x:c>
      <x:c r="T4" s="59" t="str">
        <x:v>Grupo Tukey</x:v>
      </x:c>
    </x:row>
    <x:row r="5">
      <x:c r="A5" s="78" t="str">
        <x:v>p (orden del cuadrado)</x:v>
      </x:c>
      <x:c r="B5" s="79" t="n">
        <x:v>5</x:v>
      </x:c>
      <x:c r="C5" s="76"/>
      <x:c r="D5" s="76"/>
      <x:c r="E5" s="76"/>
      <x:c r="F5" s="76"/>
      <x:c r="G5" s="76"/>
      <x:c r="H5" s="76"/>
      <x:c r="I5" s="76"/>
      <x:c r="J5" s="80" t="str">
        <x:v>V1: Phishing dirigido</x:v>
      </x:c>
      <x:c r="K5" s="81" t="n">
        <x:f>SUMIF(Datos_Minitab!$A$2:$A$26,J5,Datos_Minitab!$D$2:$D$26)</x:f>
        <x:v>445.15</x:v>
      </x:c>
      <x:c r="L5" s="76"/>
      <x:c r="M5" s="80" t="str">
        <x:v>Analista 1</x:v>
      </x:c>
      <x:c r="N5" s="81" t="n">
        <x:f>SUMIF(Datos_Minitab!$B$2:$B$26,M5,Datos_Minitab!$D$2:$D$26)</x:f>
        <x:v>446.20000000000005</x:v>
      </x:c>
      <x:c r="O5" s="76"/>
      <x:c r="P5" s="78" t="str">
        <x:v>E</x:v>
      </x:c>
      <x:c r="Q5" s="78" t="str">
        <x:v>E: Zero Trust + microsegmentación dinámica</x:v>
      </x:c>
      <x:c r="R5" s="79" t="n">
        <x:f>SUMIF(Datos_Minitab!$C$2:$C$26,Q5,Datos_Minitab!$D$2:$D$26)</x:f>
        <x:v>480.49</x:v>
      </x:c>
      <x:c r="S5" s="79" t="n">
        <x:f>R5/$B$5</x:f>
        <x:v>96.098</x:v>
      </x:c>
      <x:c r="T5" s="78" t="str">
        <x:v>a</x:v>
      </x:c>
    </x:row>
    <x:row r="6">
      <x:c r="A6" s="78" t="str">
        <x:v>N usado con dato estimado</x:v>
      </x:c>
      <x:c r="B6" s="79" t="n">
        <x:f>COUNT(Datos_Minitab!$D$2:$D$26)</x:f>
        <x:v>25</x:v>
      </x:c>
      <x:c r="C6" s="76"/>
      <x:c r="D6" s="76"/>
      <x:c r="E6" s="76"/>
      <x:c r="F6" s="76"/>
      <x:c r="G6" s="76"/>
      <x:c r="H6" s="76"/>
      <x:c r="I6" s="76"/>
      <x:c r="J6" s="80" t="str">
        <x:v>V2: Ransomware</x:v>
      </x:c>
      <x:c r="K6" s="81" t="n">
        <x:f>SUMIF(Datos_Minitab!$A$2:$A$26,J6,Datos_Minitab!$D$2:$D$26)</x:f>
        <x:v>448.76500000000004</x:v>
      </x:c>
      <x:c r="L6" s="76"/>
      <x:c r="M6" s="80" t="str">
        <x:v>Analista 2</x:v>
      </x:c>
      <x:c r="N6" s="81" t="n">
        <x:f>SUMIF(Datos_Minitab!$B$2:$B$26,M6,Datos_Minitab!$D$2:$D$26)</x:f>
        <x:v>444.66999999999996</x:v>
      </x:c>
      <x:c r="O6" s="76"/>
      <x:c r="P6" s="78" t="str">
        <x:v>C</x:v>
      </x:c>
      <x:c r="Q6" s="78" t="str">
        <x:v>C: XDR con correlación cross-dominio</x:v>
      </x:c>
      <x:c r="R6" s="79" t="n">
        <x:f>SUMIF(Datos_Minitab!$C$2:$C$26,Q6,Datos_Minitab!$D$2:$D$26)</x:f>
        <x:v>463.56</x:v>
      </x:c>
      <x:c r="S6" s="79" t="n">
        <x:f>R6/$B$5</x:f>
        <x:v>92.712</x:v>
      </x:c>
      <x:c r="T6" s="78" t="str">
        <x:v>b</x:v>
      </x:c>
    </x:row>
    <x:row r="7">
      <x:c r="A7" s="78" t="str">
        <x:v>N° de dato perdido</x:v>
      </x:c>
      <x:c r="B7" s="79" t="n">
        <x:v>1</x:v>
      </x:c>
      <x:c r="C7" s="76"/>
      <x:c r="D7" s="76"/>
      <x:c r="E7" s="76"/>
      <x:c r="F7" s="76"/>
      <x:c r="G7" s="76"/>
      <x:c r="H7" s="76"/>
      <x:c r="I7" s="76"/>
      <x:c r="J7" s="80" t="str">
        <x:v>V3: DDoS</x:v>
      </x:c>
      <x:c r="K7" s="81" t="n">
        <x:f>SUMIF(Datos_Minitab!$A$2:$A$26,J7,Datos_Minitab!$D$2:$D$26)</x:f>
        <x:v>442.41999999999996</x:v>
      </x:c>
      <x:c r="L7" s="76"/>
      <x:c r="M7" s="80" t="str">
        <x:v>Analista 3</x:v>
      </x:c>
      <x:c r="N7" s="81" t="n">
        <x:f>SUMIF(Datos_Minitab!$B$2:$B$26,M7,Datos_Minitab!$D$2:$D$26)</x:f>
        <x:v>447.75500000000005</x:v>
      </x:c>
      <x:c r="O7" s="76"/>
      <x:c r="P7" s="78" t="str">
        <x:v>A</x:v>
      </x:c>
      <x:c r="Q7" s="78" t="str">
        <x:v>A: EDR + Threat Intelligence</x:v>
      </x:c>
      <x:c r="R7" s="79" t="n">
        <x:f>SUMIF(Datos_Minitab!$C$2:$C$26,Q7,Datos_Minitab!$D$2:$D$26)</x:f>
        <x:v>439.81000000000006</x:v>
      </x:c>
      <x:c r="S7" s="79" t="n">
        <x:f>R7/$B$5</x:f>
        <x:v>87.96200000000002</x:v>
      </x:c>
      <x:c r="T7" s="78" t="str">
        <x:v>c</x:v>
      </x:c>
    </x:row>
    <x:row r="8">
      <x:c r="A8" s="78" t="str">
        <x:v>Dato perdido estimado</x:v>
      </x:c>
      <x:c r="B8" s="79" t="n">
        <x:f>Datos_Minitab!$D$9</x:f>
        <x:v>84.005</x:v>
      </x:c>
      <x:c r="C8" s="76"/>
      <x:c r="D8" s="76"/>
      <x:c r="E8" s="76"/>
      <x:c r="F8" s="76"/>
      <x:c r="G8" s="76"/>
      <x:c r="H8" s="76"/>
      <x:c r="I8" s="76"/>
      <x:c r="J8" s="80" t="str">
        <x:v>V4: Zero-day</x:v>
      </x:c>
      <x:c r="K8" s="81" t="n">
        <x:f>SUMIF(Datos_Minitab!$A$2:$A$26,J8,Datos_Minitab!$D$2:$D$26)</x:f>
        <x:v>448.39</x:v>
      </x:c>
      <x:c r="L8" s="76"/>
      <x:c r="M8" s="80" t="str">
        <x:v>Analista 4</x:v>
      </x:c>
      <x:c r="N8" s="81" t="n">
        <x:f>SUMIF(Datos_Minitab!$B$2:$B$26,M8,Datos_Minitab!$D$2:$D$26)</x:f>
        <x:v>445.76</x:v>
      </x:c>
      <x:c r="O8" s="76"/>
      <x:c r="P8" s="78" t="str">
        <x:v>B</x:v>
      </x:c>
      <x:c r="Q8" s="78" t="str">
        <x:v>B: SOAR automatizado</x:v>
      </x:c>
      <x:c r="R8" s="79" t="n">
        <x:f>SUMIF(Datos_Minitab!$C$2:$C$26,Q8,Datos_Minitab!$D$2:$D$26)</x:f>
        <x:v>430.29</x:v>
      </x:c>
      <x:c r="S8" s="79" t="n">
        <x:f>R8/$B$5</x:f>
        <x:v>86.058</x:v>
      </x:c>
      <x:c r="T8" s="78" t="str">
        <x:v>d</x:v>
      </x:c>
    </x:row>
    <x:row r="9">
      <x:c r="A9" s="78" t="str">
        <x:v>Corrección CT</x:v>
      </x:c>
      <x:c r="B9" s="79" t="n">
        <x:f>SUM(Datos_Minitab!$D$2:$D$26)^2/$B$6</x:f>
        <x:v>198813.43322500002</x:v>
      </x:c>
      <x:c r="C9" s="76"/>
      <x:c r="D9" s="76"/>
      <x:c r="E9" s="76"/>
      <x:c r="F9" s="76"/>
      <x:c r="G9" s="76"/>
      <x:c r="H9" s="76"/>
      <x:c r="I9" s="76"/>
      <x:c r="J9" s="80" t="str">
        <x:v>V5: Supply-chain</x:v>
      </x:c>
      <x:c r="K9" s="81" t="n">
        <x:f>SUMIF(Datos_Minitab!$A$2:$A$26,J9,Datos_Minitab!$D$2:$D$26)</x:f>
        <x:v>444.70000000000005</x:v>
      </x:c>
      <x:c r="L9" s="76"/>
      <x:c r="M9" s="80" t="str">
        <x:v>Analista 5</x:v>
      </x:c>
      <x:c r="N9" s="81" t="n">
        <x:f>SUMIF(Datos_Minitab!$B$2:$B$26,M9,Datos_Minitab!$D$2:$D$26)</x:f>
        <x:v>445.04</x:v>
      </x:c>
      <x:c r="O9" s="76"/>
      <x:c r="P9" s="78" t="str">
        <x:v>D</x:v>
      </x:c>
      <x:c r="Q9" s="78" t="str">
        <x:v>D: IA generativa para triaje</x:v>
      </x:c>
      <x:c r="R9" s="79" t="n">
        <x:f>SUMIF(Datos_Minitab!$C$2:$C$26,Q9,Datos_Minitab!$D$2:$D$26)</x:f>
        <x:v>415.275</x:v>
      </x:c>
      <x:c r="S9" s="79" t="n">
        <x:f>R9/$B$5</x:f>
        <x:v>83.05499999999999</x:v>
      </x:c>
      <x:c r="T9" s="78" t="str">
        <x:v>e</x:v>
      </x:c>
    </x:row>
    <x:row r="10">
      <x:c r="A10" s="78" t="str">
        <x:v>SC Total</x:v>
      </x:c>
      <x:c r="B10" s="79" t="n">
        <x:f>SUMSQ(Datos_Minitab!$D$2:$D$26)-$B$9</x:f>
        <x:v>556.0853999999817</x:v>
      </x:c>
      <x:c r="C10" s="76"/>
      <x:c r="D10" s="76"/>
      <x:c r="E10" s="76"/>
      <x:c r="F10" s="76"/>
      <x:c r="G10" s="76"/>
      <x:c r="H10" s="76"/>
      <x:c r="I10" s="76"/>
      <x:c r="J10" s="76"/>
      <x:c r="K10" s="76"/>
      <x:c r="L10" s="76"/>
      <x:c r="M10" s="76"/>
      <x:c r="N10" s="76"/>
      <x:c r="O10" s="76"/>
      <x:c r="P10" s="76"/>
      <x:c r="Q10" s="76"/>
      <x:c r="R10" s="76"/>
      <x:c r="S10" s="76"/>
      <x:c r="T10" s="76"/>
    </x:row>
    <x:row r="11">
      <x:c r="A11" s="78" t="str">
        <x:v>q crítico Tukey (α=0.05; k=5; gl error=11)</x:v>
      </x:c>
      <x:c r="B11" s="79" t="n">
        <x:v>4.5735962543</x:v>
      </x:c>
      <x:c r="C11" s="76"/>
      <x:c r="D11" s="76"/>
      <x:c r="E11" s="76"/>
      <x:c r="F11" s="76"/>
      <x:c r="G11" s="76"/>
      <x:c r="H11" s="76"/>
      <x:c r="I11" s="76"/>
      <x:c r="J11" s="76"/>
      <x:c r="K11" s="76"/>
      <x:c r="L11" s="76"/>
      <x:c r="M11" s="76"/>
      <x:c r="N11" s="76"/>
      <x:c r="O11" s="76"/>
      <x:c r="P11" s="76"/>
      <x:c r="Q11" s="76"/>
      <x:c r="R11" s="76"/>
      <x:c r="S11" s="76"/>
      <x:c r="T11" s="76"/>
    </x:row>
    <x:row r="12">
      <x:c r="A12" s="78" t="str">
        <x:v>HSD Tukey</x:v>
      </x:c>
      <x:c r="B12" s="79" t="n">
        <x:f>$B$11*SQRT($D$18/$B$5)</x:f>
        <x:v>1.2056988980629126</x:v>
      </x:c>
      <x:c r="C12" s="76"/>
      <x:c r="D12" s="76"/>
      <x:c r="E12" s="76"/>
      <x:c r="F12" s="76"/>
      <x:c r="G12" s="76"/>
      <x:c r="H12" s="76"/>
      <x:c r="I12" s="76"/>
      <x:c r="J12" s="76"/>
      <x:c r="K12" s="76"/>
      <x:c r="L12" s="76"/>
      <x:c r="M12" s="76"/>
      <x:c r="N12" s="76"/>
      <x:c r="O12" s="76"/>
      <x:c r="P12" s="76"/>
      <x:c r="Q12" s="76"/>
      <x:c r="R12" s="76"/>
      <x:c r="S12" s="76"/>
      <x:c r="T12" s="76"/>
    </x:row>
    <x:row r="13">
      <x:c r="A13" s="76"/>
      <x:c r="B13" s="76"/>
      <x:c r="C13" s="76"/>
      <x:c r="D13" s="76"/>
      <x:c r="E13" s="76"/>
      <x:c r="F13" s="76"/>
      <x:c r="G13" s="76"/>
      <x:c r="H13" s="76"/>
      <x:c r="I13" s="76"/>
      <x:c r="J13" s="76"/>
      <x:c r="K13" s="76"/>
      <x:c r="L13" s="76"/>
      <x:c r="M13" s="76"/>
      <x:c r="N13" s="76"/>
      <x:c r="O13" s="76"/>
      <x:c r="P13" s="76"/>
      <x:c r="Q13" s="76"/>
      <x:c r="R13" s="76"/>
      <x:c r="S13" s="76"/>
      <x:c r="T13" s="76"/>
    </x:row>
    <x:row r="14">
      <x:c r="A14" s="59" t="str">
        <x:v>Fuente de variación</x:v>
      </x:c>
      <x:c r="B14" s="59" t="str">
        <x:v>SC</x:v>
      </x:c>
      <x:c r="C14" s="59" t="str">
        <x:v>gl</x:v>
      </x:c>
      <x:c r="D14" s="59" t="str">
        <x:v>CM</x:v>
      </x:c>
      <x:c r="E14" s="59" t="str">
        <x:v>F calculado</x:v>
      </x:c>
      <x:c r="F14" s="59" t="str">
        <x:v>p-valor</x:v>
      </x:c>
      <x:c r="G14" s="59" t="str">
        <x:v>Decisión</x:v>
      </x:c>
      <x:c r="H14" s="76"/>
      <x:c r="I14" s="76"/>
      <x:c r="J14" s="76"/>
      <x:c r="K14" s="76"/>
      <x:c r="L14" s="76"/>
      <x:c r="M14" s="76"/>
      <x:c r="N14" s="76"/>
      <x:c r="O14" s="76"/>
      <x:c r="P14" s="76"/>
      <x:c r="Q14" s="76"/>
      <x:c r="R14" s="76"/>
      <x:c r="S14" s="76"/>
      <x:c r="T14" s="76"/>
    </x:row>
    <x:row r="15">
      <x:c r="A15" s="82" t="str">
        <x:v>Vector de Ataque (filas)</x:v>
      </x:c>
      <x:c r="B15" s="83" t="n">
        <x:f>SUMSQ($K$5:$K$9)/$B$5-$B$9</x:f>
        <x:v>5.704020000004675</x:v>
      </x:c>
      <x:c r="C15" s="83" t="n">
        <x:f>$B$5-1</x:f>
        <x:v>4</x:v>
      </x:c>
      <x:c r="D15" s="83" t="n">
        <x:f>B15/C15</x:f>
        <x:v>1.4260050000011688</x:v>
      </x:c>
      <x:c r="E15" s="83" t="n">
        <x:f>D15/$D$18</x:f>
        <x:v>4.103826230315009</x:v>
      </x:c>
      <x:c r="F15" s="83" t="n">
        <x:f>F.DIST.RT(E15,C15,$C$18)</x:f>
        <x:v>0.02827999288933558</x:v>
      </x:c>
      <x:c r="G15" s="14" t="str">
        <x:f>IF(F15&lt;$B$4,"Significativo","No significativo")</x:f>
        <x:v>Significativo</x:v>
      </x:c>
      <x:c r="H15" s="76"/>
      <x:c r="I15" s="76"/>
      <x:c r="J15" s="76"/>
      <x:c r="K15" s="76"/>
      <x:c r="L15" s="76"/>
      <x:c r="M15" s="76"/>
      <x:c r="N15" s="76"/>
      <x:c r="O15" s="76"/>
      <x:c r="P15" s="76"/>
      <x:c r="Q15" s="76"/>
      <x:c r="R15" s="76"/>
      <x:c r="S15" s="76"/>
      <x:c r="T15" s="76"/>
    </x:row>
    <x:row r="16">
      <x:c r="A16" s="82" t="str">
        <x:v>Analista de Turno (columnas)</x:v>
      </x:c>
      <x:c r="B16" s="83" t="n">
        <x:f>SUMSQ($N$5:$N$9)/$B$5-$B$9</x:f>
        <x:v>1.1604000000224914</x:v>
      </x:c>
      <x:c r="C16" s="83" t="n">
        <x:f>$B$5-1</x:f>
        <x:v>4</x:v>
      </x:c>
      <x:c r="D16" s="83" t="n">
        <x:f>B16/C16</x:f>
        <x:v>0.29010000000562286</x:v>
      </x:c>
      <x:c r="E16" s="83" t="n">
        <x:f>D16/$D$18</x:f>
        <x:v>0.8348638254679916</x:v>
      </x:c>
      <x:c r="F16" s="83" t="n">
        <x:f>F.DIST.RT(E16,C16,$C$18)</x:f>
        <x:v>0.5306779554118723</x:v>
      </x:c>
      <x:c r="G16" s="14" t="str">
        <x:f>IF(F16&lt;$B$4,"Significativo","No significativo")</x:f>
        <x:v>No significativo</x:v>
      </x:c>
      <x:c r="H16" s="76"/>
      <x:c r="I16" s="76"/>
      <x:c r="J16" s="76"/>
      <x:c r="K16" s="76"/>
      <x:c r="L16" s="76"/>
      <x:c r="M16" s="76"/>
      <x:c r="N16" s="76"/>
      <x:c r="O16" s="76"/>
      <x:c r="P16" s="76"/>
      <x:c r="Q16" s="76"/>
      <x:c r="R16" s="76"/>
      <x:c r="S16" s="76"/>
      <x:c r="T16" s="76"/>
    </x:row>
    <x:row r="17">
      <x:c r="A17" s="82" t="str">
        <x:v>Protocolo de Defensa (tratamiento)</x:v>
      </x:c>
      <x:c r="B17" s="83" t="n">
        <x:f>SUMSQ($R$5:$R$9)/$B$5-$B$9</x:f>
        <x:v>545.3986799999839</x:v>
      </x:c>
      <x:c r="C17" s="83" t="n">
        <x:f>$B$5-1</x:f>
        <x:v>4</x:v>
      </x:c>
      <x:c r="D17" s="83" t="n">
        <x:f>B17/C17</x:f>
        <x:v>136.34966999999597</x:v>
      </x:c>
      <x:c r="E17" s="83" t="n">
        <x:f>D17/$D$18</x:f>
        <x:v>392.3936818176095</x:v>
      </x:c>
      <x:c r="F17" s="83" t="n">
        <x:f>F.DIST.RT(E17,C17,$C$18)</x:f>
        <x:v>8.800848938506078e-12</x:v>
      </x:c>
      <x:c r="G17" s="14" t="str">
        <x:f>IF(F17&lt;$B$4,"Significativo","No significativo")</x:f>
        <x:v>Significativo</x:v>
      </x:c>
      <x:c r="H17" s="76"/>
      <x:c r="I17" s="76"/>
      <x:c r="J17" s="76"/>
      <x:c r="K17" s="76"/>
      <x:c r="L17" s="76"/>
      <x:c r="M17" s="76"/>
      <x:c r="N17" s="76"/>
      <x:c r="O17" s="76"/>
      <x:c r="P17" s="76"/>
      <x:c r="Q17" s="76"/>
      <x:c r="R17" s="76"/>
      <x:c r="S17" s="76"/>
      <x:c r="T17" s="76"/>
    </x:row>
    <x:row r="18">
      <x:c r="A18" s="84" t="str">
        <x:v>Error</x:v>
      </x:c>
      <x:c r="B18" s="85" t="n">
        <x:f>$B$19-$B$15-$B$16-$B$17</x:f>
        <x:v>3.82229999997071</x:v>
      </x:c>
      <x:c r="C18" s="85" t="n">
        <x:f>($B$5-1)*($B$5-2)-$B$7</x:f>
        <x:v>11</x:v>
      </x:c>
      <x:c r="D18" s="85" t="n">
        <x:f>B18/C18</x:f>
        <x:v>0.34748181817915547</x:v>
      </x:c>
      <x:c r="E18" s="85"/>
      <x:c r="F18" s="85"/>
      <x:c r="G18" s="86"/>
      <x:c r="H18" s="76"/>
      <x:c r="I18" s="76"/>
      <x:c r="J18" s="76"/>
      <x:c r="K18" s="76"/>
      <x:c r="L18" s="76"/>
      <x:c r="M18" s="76"/>
      <x:c r="N18" s="76"/>
      <x:c r="O18" s="76"/>
      <x:c r="P18" s="76"/>
      <x:c r="Q18" s="76"/>
      <x:c r="R18" s="76"/>
      <x:c r="S18" s="76"/>
      <x:c r="T18" s="76"/>
    </x:row>
    <x:row r="19">
      <x:c r="A19" s="87" t="str">
        <x:v>Total ajustado</x:v>
      </x:c>
      <x:c r="B19" s="88" t="n">
        <x:f>$B$10</x:f>
        <x:v>556.0853999999817</x:v>
      </x:c>
      <x:c r="C19" s="88" t="n">
        <x:f>$B$6-$B$7-1</x:f>
        <x:v>23</x:v>
      </x:c>
      <x:c r="D19" s="88"/>
      <x:c r="E19" s="88"/>
      <x:c r="F19" s="88"/>
      <x:c r="G19" s="87"/>
      <x:c r="H19" s="76"/>
      <x:c r="I19" s="76"/>
      <x:c r="J19" s="76"/>
      <x:c r="K19" s="76"/>
      <x:c r="L19" s="76"/>
      <x:c r="M19" s="76"/>
      <x:c r="N19" s="76"/>
      <x:c r="O19" s="76"/>
      <x:c r="P19" s="76"/>
      <x:c r="Q19" s="76"/>
      <x:c r="R19" s="76"/>
      <x:c r="S19" s="76"/>
      <x:c r="T19" s="76"/>
    </x:row>
    <x:row r="20">
      <x:c r="A20" s="76"/>
      <x:c r="B20" s="76"/>
      <x:c r="C20" s="76"/>
      <x:c r="D20" s="76"/>
      <x:c r="E20" s="76"/>
      <x:c r="F20" s="76"/>
      <x:c r="G20" s="76"/>
      <x:c r="H20" s="76"/>
      <x:c r="I20" s="76"/>
      <x:c r="J20" s="76"/>
      <x:c r="K20" s="76"/>
      <x:c r="L20" s="76"/>
      <x:c r="M20" s="76"/>
      <x:c r="N20" s="76"/>
      <x:c r="O20" s="76"/>
      <x:c r="P20" s="76"/>
      <x:c r="Q20" s="76"/>
      <x:c r="R20" s="76"/>
      <x:c r="S20" s="76"/>
      <x:c r="T20" s="76"/>
    </x:row>
    <x:row r="21">
      <x:c r="A21" s="76"/>
      <x:c r="B21" s="76"/>
      <x:c r="C21" s="76"/>
      <x:c r="D21" s="76"/>
      <x:c r="E21" s="76"/>
      <x:c r="F21" s="76"/>
      <x:c r="G21" s="76"/>
      <x:c r="H21" s="76"/>
      <x:c r="I21" s="76"/>
      <x:c r="J21" s="76"/>
      <x:c r="K21" s="76"/>
      <x:c r="L21" s="76"/>
      <x:c r="M21" s="76"/>
      <x:c r="N21" s="76"/>
      <x:c r="O21" s="76"/>
      <x:c r="P21" s="76"/>
      <x:c r="Q21" s="76"/>
      <x:c r="R21" s="76"/>
      <x:c r="S21" s="76"/>
      <x:c r="T21" s="76"/>
    </x:row>
    <x:row r="22">
      <x:c r="A22" s="59" t="str">
        <x:v>Prueba de Tukey para el tratamiento (Protocolo de Defensa)</x:v>
      </x:c>
      <x:c r="B22" s="59"/>
      <x:c r="C22" s="59"/>
      <x:c r="D22" s="59"/>
      <x:c r="E22" s="59"/>
      <x:c r="F22" s="59"/>
      <x:c r="G22" s="59"/>
      <x:c r="H22" s="76"/>
      <x:c r="I22" s="76"/>
      <x:c r="J22" s="76"/>
      <x:c r="K22" s="76"/>
      <x:c r="L22" s="76"/>
      <x:c r="M22" s="76"/>
      <x:c r="N22" s="76"/>
      <x:c r="O22" s="76"/>
      <x:c r="P22" s="76"/>
      <x:c r="Q22" s="76"/>
      <x:c r="R22" s="76"/>
      <x:c r="S22" s="76"/>
      <x:c r="T22" s="76"/>
    </x:row>
    <x:row r="23">
      <x:c r="A23" s="59"/>
      <x:c r="B23" s="59"/>
      <x:c r="C23" s="59"/>
      <x:c r="D23" s="59"/>
      <x:c r="E23" s="59"/>
      <x:c r="F23" s="59"/>
      <x:c r="G23" s="59"/>
      <x:c r="H23" s="76"/>
      <x:c r="I23" s="76"/>
      <x:c r="J23" s="76"/>
      <x:c r="K23" s="76"/>
      <x:c r="L23" s="76"/>
      <x:c r="M23" s="76"/>
      <x:c r="N23" s="76"/>
      <x:c r="O23" s="76"/>
      <x:c r="P23" s="76"/>
      <x:c r="Q23" s="76"/>
      <x:c r="R23" s="76"/>
      <x:c r="S23" s="76"/>
      <x:c r="T23" s="76"/>
    </x:row>
    <x:row r="24">
      <x:c r="A24" s="59" t="str">
        <x:v>Prot. 1</x:v>
      </x:c>
      <x:c r="B24" s="59" t="str">
        <x:v>Prot. 2</x:v>
      </x:c>
      <x:c r="C24" s="59" t="str">
        <x:v>Media 1</x:v>
      </x:c>
      <x:c r="D24" s="59" t="str">
        <x:v>Media 2</x:v>
      </x:c>
      <x:c r="E24" s="59" t="str">
        <x:v>|Diferencia|</x:v>
      </x:c>
      <x:c r="F24" s="59" t="str">
        <x:v>HSD</x:v>
      </x:c>
      <x:c r="G24" s="59" t="str">
        <x:v>Decisión</x:v>
      </x:c>
      <x:c r="H24" s="76"/>
      <x:c r="I24" s="76"/>
      <x:c r="J24" s="76"/>
      <x:c r="K24" s="76"/>
      <x:c r="L24" s="76"/>
      <x:c r="M24" s="76"/>
      <x:c r="N24" s="76"/>
      <x:c r="O24" s="76"/>
      <x:c r="P24" s="76"/>
      <x:c r="Q24" s="76"/>
      <x:c r="R24" s="76"/>
      <x:c r="S24" s="76"/>
      <x:c r="T24" s="76"/>
    </x:row>
    <x:row r="25">
      <x:c r="A25" s="14" t="str">
        <x:v>A</x:v>
      </x:c>
      <x:c r="B25" s="14" t="str">
        <x:v>B</x:v>
      </x:c>
      <x:c r="C25" s="83" t="n">
        <x:f>INDEX($S$5:$S$9,MATCH(A25,$P$5:$P$9,0))</x:f>
        <x:v>87.96200000000002</x:v>
      </x:c>
      <x:c r="D25" s="83" t="n">
        <x:f>INDEX($S$5:$S$9,MATCH(B25,$P$5:$P$9,0))</x:f>
        <x:v>86.058</x:v>
      </x:c>
      <x:c r="E25" s="83" t="n">
        <x:f>ABS(C25-D25)</x:f>
        <x:v>1.9040000000000106</x:v>
      </x:c>
      <x:c r="F25" s="83" t="n">
        <x:f>$B$12</x:f>
        <x:v>1.2056988980629126</x:v>
      </x:c>
      <x:c r="G25" s="14" t="str">
        <x:f>IF(E25&gt;F25,"Diferencia significativa","No significativa")</x:f>
        <x:v>Diferencia significativa</x:v>
      </x:c>
      <x:c r="H25" s="76"/>
      <x:c r="I25" s="76"/>
      <x:c r="J25" s="76"/>
      <x:c r="K25" s="76"/>
      <x:c r="L25" s="76"/>
      <x:c r="M25" s="76"/>
      <x:c r="N25" s="76"/>
      <x:c r="O25" s="76"/>
      <x:c r="P25" s="76"/>
      <x:c r="Q25" s="76"/>
      <x:c r="R25" s="76"/>
      <x:c r="S25" s="76"/>
      <x:c r="T25" s="76"/>
    </x:row>
    <x:row r="26">
      <x:c r="A26" s="14" t="str">
        <x:v>A</x:v>
      </x:c>
      <x:c r="B26" s="14" t="str">
        <x:v>C</x:v>
      </x:c>
      <x:c r="C26" s="83" t="n">
        <x:f>INDEX($S$5:$S$9,MATCH(A26,$P$5:$P$9,0))</x:f>
        <x:v>87.96200000000002</x:v>
      </x:c>
      <x:c r="D26" s="83" t="n">
        <x:f>INDEX($S$5:$S$9,MATCH(B26,$P$5:$P$9,0))</x:f>
        <x:v>92.712</x:v>
      </x:c>
      <x:c r="E26" s="83" t="n">
        <x:f>ABS(C26-D26)</x:f>
        <x:v>4.749999999999986</x:v>
      </x:c>
      <x:c r="F26" s="83" t="n">
        <x:f>$B$12</x:f>
        <x:v>1.2056988980629126</x:v>
      </x:c>
      <x:c r="G26" s="14" t="str">
        <x:f>IF(E26&gt;F26,"Diferencia significativa","No significativa")</x:f>
        <x:v>Diferencia significativa</x:v>
      </x:c>
      <x:c r="H26" s="76"/>
      <x:c r="I26" s="76"/>
      <x:c r="J26" s="76"/>
      <x:c r="K26" s="76"/>
      <x:c r="L26" s="76"/>
      <x:c r="M26" s="76"/>
      <x:c r="N26" s="76"/>
      <x:c r="O26" s="76"/>
      <x:c r="P26" s="76"/>
      <x:c r="Q26" s="76"/>
      <x:c r="R26" s="76"/>
      <x:c r="S26" s="76"/>
      <x:c r="T26" s="76"/>
    </x:row>
    <x:row r="27">
      <x:c r="A27" s="14" t="str">
        <x:v>A</x:v>
      </x:c>
      <x:c r="B27" s="14" t="str">
        <x:v>D</x:v>
      </x:c>
      <x:c r="C27" s="83" t="n">
        <x:f>INDEX($S$5:$S$9,MATCH(A27,$P$5:$P$9,0))</x:f>
        <x:v>87.96200000000002</x:v>
      </x:c>
      <x:c r="D27" s="83" t="n">
        <x:f>INDEX($S$5:$S$9,MATCH(B27,$P$5:$P$9,0))</x:f>
        <x:v>83.05499999999999</x:v>
      </x:c>
      <x:c r="E27" s="83" t="n">
        <x:f>ABS(C27-D27)</x:f>
        <x:v>4.907000000000025</x:v>
      </x:c>
      <x:c r="F27" s="83" t="n">
        <x:f>$B$12</x:f>
        <x:v>1.2056988980629126</x:v>
      </x:c>
      <x:c r="G27" s="14" t="str">
        <x:f>IF(E27&gt;F27,"Diferencia significativa","No significativa")</x:f>
        <x:v>Diferencia significativa</x:v>
      </x:c>
      <x:c r="H27" s="76"/>
      <x:c r="I27" s="76"/>
      <x:c r="J27" s="76"/>
      <x:c r="K27" s="76"/>
      <x:c r="L27" s="76"/>
      <x:c r="M27" s="76"/>
      <x:c r="N27" s="76"/>
      <x:c r="O27" s="76"/>
      <x:c r="P27" s="76"/>
      <x:c r="Q27" s="76"/>
      <x:c r="R27" s="76"/>
      <x:c r="S27" s="76"/>
      <x:c r="T27" s="76"/>
    </x:row>
    <x:row r="28">
      <x:c r="A28" s="14" t="str">
        <x:v>A</x:v>
      </x:c>
      <x:c r="B28" s="14" t="str">
        <x:v>E</x:v>
      </x:c>
      <x:c r="C28" s="83" t="n">
        <x:f>INDEX($S$5:$S$9,MATCH(A28,$P$5:$P$9,0))</x:f>
        <x:v>87.96200000000002</x:v>
      </x:c>
      <x:c r="D28" s="83" t="n">
        <x:f>INDEX($S$5:$S$9,MATCH(B28,$P$5:$P$9,0))</x:f>
        <x:v>96.098</x:v>
      </x:c>
      <x:c r="E28" s="83" t="n">
        <x:f>ABS(C28-D28)</x:f>
        <x:v>8.135999999999981</x:v>
      </x:c>
      <x:c r="F28" s="83" t="n">
        <x:f>$B$12</x:f>
        <x:v>1.2056988980629126</x:v>
      </x:c>
      <x:c r="G28" s="14" t="str">
        <x:f>IF(E28&gt;F28,"Diferencia significativa","No significativa")</x:f>
        <x:v>Diferencia significativa</x:v>
      </x:c>
      <x:c r="H28" s="76"/>
      <x:c r="I28" s="76"/>
      <x:c r="J28" s="76"/>
      <x:c r="K28" s="76"/>
      <x:c r="L28" s="76"/>
      <x:c r="M28" s="76"/>
      <x:c r="N28" s="76"/>
      <x:c r="O28" s="76"/>
      <x:c r="P28" s="76"/>
      <x:c r="Q28" s="76"/>
      <x:c r="R28" s="76"/>
      <x:c r="S28" s="76"/>
      <x:c r="T28" s="76"/>
    </x:row>
    <x:row r="29">
      <x:c r="A29" s="14" t="str">
        <x:v>B</x:v>
      </x:c>
      <x:c r="B29" s="14" t="str">
        <x:v>C</x:v>
      </x:c>
      <x:c r="C29" s="83" t="n">
        <x:f>INDEX($S$5:$S$9,MATCH(A29,$P$5:$P$9,0))</x:f>
        <x:v>86.058</x:v>
      </x:c>
      <x:c r="D29" s="83" t="n">
        <x:f>INDEX($S$5:$S$9,MATCH(B29,$P$5:$P$9,0))</x:f>
        <x:v>92.712</x:v>
      </x:c>
      <x:c r="E29" s="83" t="n">
        <x:f>ABS(C29-D29)</x:f>
        <x:v>6.653999999999996</x:v>
      </x:c>
      <x:c r="F29" s="83" t="n">
        <x:f>$B$12</x:f>
        <x:v>1.2056988980629126</x:v>
      </x:c>
      <x:c r="G29" s="14" t="str">
        <x:f>IF(E29&gt;F29,"Diferencia significativa","No significativa")</x:f>
        <x:v>Diferencia significativa</x:v>
      </x:c>
      <x:c r="H29" s="76"/>
      <x:c r="I29" s="76"/>
      <x:c r="J29" s="76"/>
      <x:c r="K29" s="76"/>
      <x:c r="L29" s="76"/>
      <x:c r="M29" s="76"/>
      <x:c r="N29" s="76"/>
      <x:c r="O29" s="76"/>
      <x:c r="P29" s="76"/>
      <x:c r="Q29" s="76"/>
      <x:c r="R29" s="76"/>
      <x:c r="S29" s="76"/>
      <x:c r="T29" s="76"/>
    </x:row>
    <x:row r="30">
      <x:c r="A30" s="14" t="str">
        <x:v>B</x:v>
      </x:c>
      <x:c r="B30" s="14" t="str">
        <x:v>D</x:v>
      </x:c>
      <x:c r="C30" s="83" t="n">
        <x:f>INDEX($S$5:$S$9,MATCH(A30,$P$5:$P$9,0))</x:f>
        <x:v>86.058</x:v>
      </x:c>
      <x:c r="D30" s="83" t="n">
        <x:f>INDEX($S$5:$S$9,MATCH(B30,$P$5:$P$9,0))</x:f>
        <x:v>83.05499999999999</x:v>
      </x:c>
      <x:c r="E30" s="83" t="n">
        <x:f>ABS(C30-D30)</x:f>
        <x:v>3.0030000000000143</x:v>
      </x:c>
      <x:c r="F30" s="83" t="n">
        <x:f>$B$12</x:f>
        <x:v>1.2056988980629126</x:v>
      </x:c>
      <x:c r="G30" s="14" t="str">
        <x:f>IF(E30&gt;F30,"Diferencia significativa","No significativa")</x:f>
        <x:v>Diferencia significativa</x:v>
      </x:c>
      <x:c r="H30" s="76"/>
      <x:c r="I30" s="76"/>
      <x:c r="J30" s="76"/>
      <x:c r="K30" s="76"/>
      <x:c r="L30" s="76"/>
      <x:c r="M30" s="76"/>
      <x:c r="N30" s="76"/>
      <x:c r="O30" s="76"/>
      <x:c r="P30" s="76"/>
      <x:c r="Q30" s="76"/>
      <x:c r="R30" s="76"/>
      <x:c r="S30" s="76"/>
      <x:c r="T30" s="76"/>
    </x:row>
    <x:row r="31">
      <x:c r="A31" s="14" t="str">
        <x:v>B</x:v>
      </x:c>
      <x:c r="B31" s="14" t="str">
        <x:v>E</x:v>
      </x:c>
      <x:c r="C31" s="83" t="n">
        <x:f>INDEX($S$5:$S$9,MATCH(A31,$P$5:$P$9,0))</x:f>
        <x:v>86.058</x:v>
      </x:c>
      <x:c r="D31" s="83" t="n">
        <x:f>INDEX($S$5:$S$9,MATCH(B31,$P$5:$P$9,0))</x:f>
        <x:v>96.098</x:v>
      </x:c>
      <x:c r="E31" s="83" t="n">
        <x:f>ABS(C31-D31)</x:f>
        <x:v>10.039999999999992</x:v>
      </x:c>
      <x:c r="F31" s="83" t="n">
        <x:f>$B$12</x:f>
        <x:v>1.2056988980629126</x:v>
      </x:c>
      <x:c r="G31" s="14" t="str">
        <x:f>IF(E31&gt;F31,"Diferencia significativa","No significativa")</x:f>
        <x:v>Diferencia significativa</x:v>
      </x:c>
      <x:c r="H31" s="76"/>
      <x:c r="I31" s="76"/>
      <x:c r="J31" s="76"/>
      <x:c r="K31" s="76"/>
      <x:c r="L31" s="76"/>
      <x:c r="M31" s="76"/>
      <x:c r="N31" s="76"/>
      <x:c r="O31" s="76"/>
      <x:c r="P31" s="76"/>
      <x:c r="Q31" s="76"/>
      <x:c r="R31" s="76"/>
      <x:c r="S31" s="76"/>
      <x:c r="T31" s="76"/>
    </x:row>
    <x:row r="32">
      <x:c r="A32" s="14" t="str">
        <x:v>C</x:v>
      </x:c>
      <x:c r="B32" s="14" t="str">
        <x:v>D</x:v>
      </x:c>
      <x:c r="C32" s="83" t="n">
        <x:f>INDEX($S$5:$S$9,MATCH(A32,$P$5:$P$9,0))</x:f>
        <x:v>92.712</x:v>
      </x:c>
      <x:c r="D32" s="83" t="n">
        <x:f>INDEX($S$5:$S$9,MATCH(B32,$P$5:$P$9,0))</x:f>
        <x:v>83.05499999999999</x:v>
      </x:c>
      <x:c r="E32" s="83" t="n">
        <x:f>ABS(C32-D32)</x:f>
        <x:v>9.65700000000001</x:v>
      </x:c>
      <x:c r="F32" s="83" t="n">
        <x:f>$B$12</x:f>
        <x:v>1.2056988980629126</x:v>
      </x:c>
      <x:c r="G32" s="14" t="str">
        <x:f>IF(E32&gt;F32,"Diferencia significativa","No significativa")</x:f>
        <x:v>Diferencia significativa</x:v>
      </x:c>
      <x:c r="H32" s="76"/>
      <x:c r="I32" s="76"/>
      <x:c r="J32" s="76"/>
      <x:c r="K32" s="76"/>
      <x:c r="L32" s="76"/>
      <x:c r="M32" s="76"/>
      <x:c r="N32" s="76"/>
      <x:c r="O32" s="76"/>
      <x:c r="P32" s="76"/>
      <x:c r="Q32" s="76"/>
      <x:c r="R32" s="76"/>
      <x:c r="S32" s="76"/>
      <x:c r="T32" s="76"/>
    </x:row>
    <x:row r="33">
      <x:c r="A33" s="14" t="str">
        <x:v>C</x:v>
      </x:c>
      <x:c r="B33" s="14" t="str">
        <x:v>E</x:v>
      </x:c>
      <x:c r="C33" s="83" t="n">
        <x:f>INDEX($S$5:$S$9,MATCH(A33,$P$5:$P$9,0))</x:f>
        <x:v>92.712</x:v>
      </x:c>
      <x:c r="D33" s="83" t="n">
        <x:f>INDEX($S$5:$S$9,MATCH(B33,$P$5:$P$9,0))</x:f>
        <x:v>96.098</x:v>
      </x:c>
      <x:c r="E33" s="83" t="n">
        <x:f>ABS(C33-D33)</x:f>
        <x:v>3.3859999999999957</x:v>
      </x:c>
      <x:c r="F33" s="83" t="n">
        <x:f>$B$12</x:f>
        <x:v>1.2056988980629126</x:v>
      </x:c>
      <x:c r="G33" s="14" t="str">
        <x:f>IF(E33&gt;F33,"Diferencia significativa","No significativa")</x:f>
        <x:v>Diferencia significativa</x:v>
      </x:c>
      <x:c r="H33" s="76"/>
      <x:c r="I33" s="76"/>
      <x:c r="J33" s="76"/>
      <x:c r="K33" s="76"/>
      <x:c r="L33" s="76"/>
      <x:c r="M33" s="76"/>
      <x:c r="N33" s="76"/>
      <x:c r="O33" s="76"/>
      <x:c r="P33" s="76"/>
      <x:c r="Q33" s="76"/>
      <x:c r="R33" s="76"/>
      <x:c r="S33" s="76"/>
      <x:c r="T33" s="76"/>
    </x:row>
    <x:row r="34">
      <x:c r="A34" s="14" t="str">
        <x:v>D</x:v>
      </x:c>
      <x:c r="B34" s="14" t="str">
        <x:v>E</x:v>
      </x:c>
      <x:c r="C34" s="83" t="n">
        <x:f>INDEX($S$5:$S$9,MATCH(A34,$P$5:$P$9,0))</x:f>
        <x:v>83.05499999999999</x:v>
      </x:c>
      <x:c r="D34" s="83" t="n">
        <x:f>INDEX($S$5:$S$9,MATCH(B34,$P$5:$P$9,0))</x:f>
        <x:v>96.098</x:v>
      </x:c>
      <x:c r="E34" s="83" t="n">
        <x:f>ABS(C34-D34)</x:f>
        <x:v>13.043000000000006</x:v>
      </x:c>
      <x:c r="F34" s="83" t="n">
        <x:f>$B$12</x:f>
        <x:v>1.2056988980629126</x:v>
      </x:c>
      <x:c r="G34" s="14" t="str">
        <x:f>IF(E34&gt;F34,"Diferencia significativa","No significativa")</x:f>
        <x:v>Diferencia significativa</x:v>
      </x:c>
      <x:c r="H34" s="76"/>
      <x:c r="I34" s="76"/>
      <x:c r="J34" s="76"/>
      <x:c r="K34" s="76"/>
      <x:c r="L34" s="76"/>
      <x:c r="M34" s="76"/>
      <x:c r="N34" s="76"/>
      <x:c r="O34" s="76"/>
      <x:c r="P34" s="76"/>
      <x:c r="Q34" s="76"/>
      <x:c r="R34" s="76"/>
      <x:c r="S34" s="76"/>
      <x:c r="T34" s="76"/>
    </x:row>
    <x:row r="35">
      <x:c r="A35" s="76"/>
      <x:c r="B35" s="76"/>
      <x:c r="C35" s="76"/>
      <x:c r="D35" s="76"/>
      <x:c r="E35" s="76"/>
      <x:c r="F35" s="76"/>
      <x:c r="G35" s="76"/>
      <x:c r="H35" s="76"/>
      <x:c r="I35" s="76"/>
      <x:c r="J35" s="76"/>
      <x:c r="K35" s="76"/>
      <x:c r="L35" s="76"/>
      <x:c r="M35" s="76"/>
      <x:c r="N35" s="76"/>
      <x:c r="O35" s="76"/>
      <x:c r="P35" s="76"/>
      <x:c r="Q35" s="76"/>
      <x:c r="R35" s="76"/>
      <x:c r="S35" s="76"/>
      <x:c r="T35" s="76"/>
    </x:row>
    <x:row r="36">
      <x:c r="A36" s="76"/>
      <x:c r="B36" s="76"/>
      <x:c r="C36" s="76"/>
      <x:c r="D36" s="76"/>
      <x:c r="E36" s="76"/>
      <x:c r="F36" s="76"/>
      <x:c r="G36" s="76"/>
      <x:c r="H36" s="76"/>
      <x:c r="I36" s="76"/>
      <x:c r="J36" s="76"/>
      <x:c r="K36" s="76"/>
      <x:c r="L36" s="76"/>
      <x:c r="M36" s="76"/>
      <x:c r="N36" s="76"/>
      <x:c r="O36" s="76"/>
      <x:c r="P36" s="76"/>
      <x:c r="Q36" s="76"/>
      <x:c r="R36" s="76"/>
      <x:c r="S36" s="76"/>
      <x:c r="T36" s="76"/>
    </x:row>
    <x:row r="37">
      <x:c r="A37" s="59" t="str">
        <x:v>Interpretación</x:v>
      </x:c>
      <x:c r="B37" s="59"/>
      <x:c r="C37" s="59"/>
      <x:c r="D37" s="59"/>
      <x:c r="E37" s="59"/>
      <x:c r="F37" s="59"/>
      <x:c r="G37" s="59"/>
      <x:c r="H37" s="76"/>
      <x:c r="I37" s="76"/>
      <x:c r="J37" s="76"/>
      <x:c r="K37" s="76"/>
      <x:c r="L37" s="76"/>
      <x:c r="M37" s="76"/>
      <x:c r="N37" s="76"/>
      <x:c r="O37" s="76"/>
      <x:c r="P37" s="76"/>
      <x:c r="Q37" s="76"/>
      <x:c r="R37" s="76"/>
      <x:c r="S37" s="76"/>
      <x:c r="T37" s="76"/>
    </x:row>
    <x:row r="38" ht="50" customHeight="1">
      <x:c r="A38" s="94" t="str">
        <x:v>Conclusión: En el ANOVA, el Protocolo de Defensa es significativo (p &lt; 0.05), por lo que la tasa de detección cambia según el protocolo aplicado. El Vector de Ataque también resulta significativo, mientras que el Analista de Turno no presenta efecto significativo. En Tukey, todas las diferencias entre protocolos superan el HSD; por tanto, las medias son distintas entre sí al 5%. Orden de desempeño: E &gt; C &gt; A &gt; B &gt; D. Nota: el dato perdido se estimó como 84.005 y se descontó 1 gl al total y al error.</x:v>
      </x:c>
      <x:c r="B38" s="94"/>
      <x:c r="C38" s="94"/>
      <x:c r="D38" s="94"/>
      <x:c r="E38" s="94"/>
      <x:c r="F38" s="94"/>
      <x:c r="G38" s="94"/>
      <x:c r="H38" s="76"/>
      <x:c r="I38" s="76"/>
      <x:c r="J38" s="76"/>
      <x:c r="K38" s="76"/>
      <x:c r="L38" s="76"/>
      <x:c r="M38" s="76"/>
      <x:c r="N38" s="76"/>
      <x:c r="O38" s="76"/>
      <x:c r="P38" s="76"/>
      <x:c r="Q38" s="76"/>
      <x:c r="R38" s="76"/>
      <x:c r="S38" s="76"/>
      <x:c r="T38" s="76"/>
    </x:row>
    <x:row r="39" ht="50" customHeight="1">
      <x:c r="A39" s="94"/>
      <x:c r="B39" s="94"/>
      <x:c r="C39" s="94"/>
      <x:c r="D39" s="94"/>
      <x:c r="E39" s="94"/>
      <x:c r="F39" s="94"/>
      <x:c r="G39" s="94"/>
      <x:c r="H39" s="76"/>
      <x:c r="I39" s="76"/>
      <x:c r="J39" s="76"/>
      <x:c r="K39" s="76"/>
      <x:c r="L39" s="76"/>
      <x:c r="M39" s="76"/>
      <x:c r="N39" s="76"/>
      <x:c r="O39" s="76"/>
      <x:c r="P39" s="76"/>
      <x:c r="Q39" s="76"/>
      <x:c r="R39" s="76"/>
      <x:c r="S39" s="76"/>
      <x:c r="T39" s="76"/>
    </x:row>
    <x:row r="40" ht="50" customHeight="1">
      <x:c r="A40" s="94"/>
      <x:c r="B40" s="94"/>
      <x:c r="C40" s="94"/>
      <x:c r="D40" s="94"/>
      <x:c r="E40" s="94"/>
      <x:c r="F40" s="94"/>
      <x:c r="G40" s="94"/>
      <x:c r="H40" s="76"/>
      <x:c r="I40" s="76"/>
      <x:c r="J40" s="76"/>
      <x:c r="K40" s="76"/>
      <x:c r="L40" s="76"/>
      <x:c r="M40" s="76"/>
      <x:c r="N40" s="76"/>
      <x:c r="O40" s="76"/>
      <x:c r="P40" s="76"/>
      <x:c r="Q40" s="76"/>
      <x:c r="R40" s="76"/>
      <x:c r="S40" s="76"/>
      <x:c r="T40" s="76"/>
    </x:row>
    <x:row r="41">
      <x:c r="A41" s="76"/>
      <x:c r="B41" s="76"/>
      <x:c r="C41" s="76"/>
      <x:c r="D41" s="76"/>
      <x:c r="E41" s="76"/>
      <x:c r="F41" s="76"/>
      <x:c r="G41" s="76"/>
      <x:c r="H41" s="76"/>
      <x:c r="I41" s="76"/>
      <x:c r="J41" s="76"/>
      <x:c r="K41" s="76"/>
      <x:c r="L41" s="76"/>
      <x:c r="M41" s="76"/>
      <x:c r="N41" s="76"/>
      <x:c r="O41" s="76"/>
      <x:c r="P41" s="76"/>
      <x:c r="Q41" s="76"/>
      <x:c r="R41" s="76"/>
      <x:c r="S41" s="76"/>
      <x:c r="T41" s="76"/>
    </x:row>
    <x:row r="42">
      <x:c r="A42" s="76"/>
      <x:c r="B42" s="76"/>
      <x:c r="C42" s="76"/>
      <x:c r="D42" s="76"/>
      <x:c r="E42" s="76"/>
      <x:c r="F42" s="76"/>
      <x:c r="G42" s="76"/>
      <x:c r="H42" s="76"/>
      <x:c r="I42" s="76"/>
      <x:c r="J42" s="76"/>
      <x:c r="K42" s="76"/>
      <x:c r="L42" s="76"/>
      <x:c r="M42" s="76"/>
      <x:c r="N42" s="76"/>
      <x:c r="O42" s="76"/>
      <x:c r="P42" s="76"/>
      <x:c r="Q42" s="76"/>
      <x:c r="R42" s="76"/>
      <x:c r="S42" s="76"/>
      <x:c r="T42" s="76"/>
    </x:row>
    <x:row r="43">
      <x:c r="A43" s="76"/>
      <x:c r="B43" s="76"/>
      <x:c r="C43" s="76"/>
      <x:c r="D43" s="76"/>
      <x:c r="E43" s="76"/>
      <x:c r="F43" s="76"/>
      <x:c r="G43" s="76"/>
      <x:c r="H43" s="76"/>
      <x:c r="I43" s="76"/>
      <x:c r="J43" s="76"/>
      <x:c r="K43" s="76"/>
      <x:c r="L43" s="76"/>
      <x:c r="M43" s="76"/>
      <x:c r="N43" s="76"/>
      <x:c r="O43" s="76"/>
      <x:c r="P43" s="76"/>
      <x:c r="Q43" s="76"/>
      <x:c r="R43" s="76"/>
      <x:c r="S43" s="76"/>
      <x:c r="T43" s="76"/>
    </x:row>
    <x:row r="44">
      <x:c r="A44" s="76"/>
      <x:c r="B44" s="76"/>
      <x:c r="C44" s="76"/>
      <x:c r="D44" s="76"/>
      <x:c r="E44" s="76"/>
      <x:c r="F44" s="76"/>
      <x:c r="G44" s="76"/>
      <x:c r="H44" s="76"/>
      <x:c r="I44" s="76"/>
      <x:c r="J44" s="76"/>
      <x:c r="K44" s="76"/>
      <x:c r="L44" s="76"/>
      <x:c r="M44" s="76"/>
      <x:c r="N44" s="76"/>
      <x:c r="O44" s="76"/>
      <x:c r="P44" s="76"/>
      <x:c r="Q44" s="76"/>
      <x:c r="R44" s="76"/>
      <x:c r="S44" s="76"/>
      <x:c r="T44" s="76"/>
    </x:row>
    <x:row r="45">
      <x:c r="A45" s="76"/>
      <x:c r="B45" s="76"/>
      <x:c r="C45" s="76"/>
      <x:c r="D45" s="76"/>
      <x:c r="E45" s="76"/>
      <x:c r="F45" s="76"/>
      <x:c r="G45" s="76"/>
      <x:c r="H45" s="76"/>
      <x:c r="I45" s="76"/>
      <x:c r="J45" s="76"/>
      <x:c r="K45" s="76"/>
      <x:c r="L45" s="76"/>
      <x:c r="M45" s="76"/>
      <x:c r="N45" s="76"/>
      <x:c r="O45" s="76"/>
      <x:c r="P45" s="76"/>
      <x:c r="Q45" s="76"/>
      <x:c r="R45" s="76"/>
      <x:c r="S45" s="76"/>
      <x:c r="T45" s="76"/>
    </x:row>
    <x:row r="46">
      <x:c r="A46" s="76"/>
      <x:c r="B46" s="76"/>
      <x:c r="C46" s="76"/>
      <x:c r="D46" s="76"/>
      <x:c r="E46" s="76"/>
      <x:c r="F46" s="76"/>
      <x:c r="G46" s="76"/>
      <x:c r="H46" s="76"/>
      <x:c r="I46" s="76"/>
      <x:c r="J46" s="76"/>
      <x:c r="K46" s="76"/>
      <x:c r="L46" s="76"/>
      <x:c r="M46" s="76"/>
      <x:c r="N46" s="76"/>
      <x:c r="O46" s="76"/>
      <x:c r="P46" s="76"/>
      <x:c r="Q46" s="76"/>
      <x:c r="R46" s="76"/>
      <x:c r="S46" s="76"/>
      <x:c r="T46" s="76"/>
    </x:row>
    <x:row r="47">
      <x:c r="A47" s="76"/>
      <x:c r="B47" s="76"/>
      <x:c r="C47" s="76"/>
      <x:c r="D47" s="76"/>
      <x:c r="E47" s="76"/>
      <x:c r="F47" s="76"/>
      <x:c r="G47" s="76"/>
      <x:c r="H47" s="76"/>
      <x:c r="I47" s="76"/>
      <x:c r="J47" s="76"/>
      <x:c r="K47" s="76"/>
      <x:c r="L47" s="76"/>
      <x:c r="M47" s="76"/>
      <x:c r="N47" s="76"/>
      <x:c r="O47" s="76"/>
      <x:c r="P47" s="76"/>
      <x:c r="Q47" s="76"/>
      <x:c r="R47" s="76"/>
      <x:c r="S47" s="76"/>
      <x:c r="T47" s="76"/>
    </x:row>
    <x:row r="48">
      <x:c r="A48" s="76"/>
      <x:c r="B48" s="76"/>
      <x:c r="C48" s="76"/>
      <x:c r="D48" s="76"/>
      <x:c r="E48" s="76"/>
      <x:c r="F48" s="76"/>
      <x:c r="G48" s="76"/>
      <x:c r="H48" s="76"/>
      <x:c r="I48" s="76"/>
      <x:c r="J48" s="76"/>
      <x:c r="K48" s="76"/>
      <x:c r="L48" s="76"/>
      <x:c r="M48" s="76"/>
      <x:c r="N48" s="76"/>
      <x:c r="O48" s="76"/>
      <x:c r="P48" s="76"/>
      <x:c r="Q48" s="76"/>
      <x:c r="R48" s="76"/>
      <x:c r="S48" s="76"/>
      <x:c r="T48" s="76"/>
    </x:row>
    <x:row r="49">
      <x:c r="A49" s="76"/>
      <x:c r="B49" s="76"/>
      <x:c r="C49" s="76"/>
      <x:c r="D49" s="76"/>
      <x:c r="E49" s="76"/>
      <x:c r="F49" s="76"/>
      <x:c r="G49" s="76"/>
      <x:c r="H49" s="76"/>
      <x:c r="I49" s="76"/>
      <x:c r="J49" s="76"/>
      <x:c r="K49" s="76"/>
      <x:c r="L49" s="76"/>
      <x:c r="M49" s="76"/>
      <x:c r="N49" s="76"/>
      <x:c r="O49" s="76"/>
      <x:c r="P49" s="76"/>
      <x:c r="Q49" s="76"/>
      <x:c r="R49" s="76"/>
      <x:c r="S49" s="76"/>
      <x:c r="T49" s="76"/>
    </x:row>
    <x:row r="50">
      <x:c r="A50" s="76"/>
      <x:c r="B50" s="76"/>
      <x:c r="C50" s="76"/>
      <x:c r="D50" s="76"/>
      <x:c r="E50" s="76"/>
      <x:c r="F50" s="76"/>
      <x:c r="G50" s="76"/>
      <x:c r="H50" s="76"/>
      <x:c r="I50" s="76"/>
      <x:c r="J50" s="76"/>
      <x:c r="K50" s="76"/>
      <x:c r="L50" s="76"/>
      <x:c r="M50" s="76"/>
      <x:c r="N50" s="76"/>
      <x:c r="O50" s="76"/>
      <x:c r="P50" s="76"/>
      <x:c r="Q50" s="76"/>
      <x:c r="R50" s="76"/>
      <x:c r="S50" s="76"/>
      <x:c r="T50" s="76"/>
    </x:row>
    <x:row r="51">
      <x:c r="A51" s="76"/>
      <x:c r="B51" s="76"/>
      <x:c r="C51" s="76"/>
      <x:c r="D51" s="76"/>
      <x:c r="E51" s="76"/>
      <x:c r="F51" s="76"/>
      <x:c r="G51" s="76"/>
      <x:c r="H51" s="76"/>
      <x:c r="I51" s="76"/>
      <x:c r="J51" s="76"/>
      <x:c r="K51" s="76"/>
      <x:c r="L51" s="76"/>
      <x:c r="M51" s="76"/>
      <x:c r="N51" s="76"/>
      <x:c r="O51" s="76"/>
      <x:c r="P51" s="76"/>
      <x:c r="Q51" s="76"/>
      <x:c r="R51" s="76"/>
      <x:c r="S51" s="76"/>
      <x:c r="T51" s="76"/>
    </x:row>
    <x:row r="52">
      <x:c r="A52" s="76"/>
      <x:c r="B52" s="76"/>
      <x:c r="C52" s="76"/>
      <x:c r="D52" s="76"/>
      <x:c r="E52" s="76"/>
      <x:c r="F52" s="76"/>
      <x:c r="G52" s="76"/>
      <x:c r="H52" s="76"/>
      <x:c r="I52" s="76"/>
      <x:c r="J52" s="76"/>
      <x:c r="K52" s="76"/>
      <x:c r="L52" s="76"/>
      <x:c r="M52" s="76"/>
      <x:c r="N52" s="76"/>
      <x:c r="O52" s="76"/>
      <x:c r="P52" s="76"/>
      <x:c r="Q52" s="76"/>
      <x:c r="R52" s="76"/>
      <x:c r="S52" s="76"/>
      <x:c r="T52" s="76"/>
    </x:row>
    <x:row r="53">
      <x:c r="A53" s="76"/>
      <x:c r="B53" s="76"/>
      <x:c r="C53" s="76"/>
      <x:c r="D53" s="76"/>
      <x:c r="E53" s="76"/>
      <x:c r="F53" s="76"/>
      <x:c r="G53" s="76"/>
      <x:c r="H53" s="76"/>
      <x:c r="I53" s="76"/>
      <x:c r="J53" s="76"/>
      <x:c r="K53" s="76"/>
      <x:c r="L53" s="76"/>
      <x:c r="M53" s="76"/>
      <x:c r="N53" s="76"/>
      <x:c r="O53" s="76"/>
      <x:c r="P53" s="76"/>
      <x:c r="Q53" s="76"/>
      <x:c r="R53" s="76"/>
      <x:c r="S53" s="76"/>
      <x:c r="T53" s="76"/>
    </x:row>
    <x:row r="54">
      <x:c r="A54" s="76"/>
      <x:c r="B54" s="76"/>
      <x:c r="C54" s="76"/>
      <x:c r="D54" s="76"/>
      <x:c r="E54" s="76"/>
      <x:c r="F54" s="76"/>
      <x:c r="G54" s="76"/>
      <x:c r="H54" s="76"/>
      <x:c r="I54" s="76"/>
      <x:c r="J54" s="76"/>
      <x:c r="K54" s="76"/>
      <x:c r="L54" s="76"/>
      <x:c r="M54" s="76"/>
      <x:c r="N54" s="76"/>
      <x:c r="O54" s="76"/>
      <x:c r="P54" s="76"/>
      <x:c r="Q54" s="76"/>
      <x:c r="R54" s="76"/>
      <x:c r="S54" s="76"/>
      <x:c r="T54" s="76"/>
    </x:row>
    <x:row r="55">
      <x:c r="A55" s="76"/>
      <x:c r="B55" s="76"/>
      <x:c r="C55" s="76"/>
      <x:c r="D55" s="76"/>
      <x:c r="E55" s="76"/>
      <x:c r="F55" s="76"/>
      <x:c r="G55" s="76"/>
      <x:c r="H55" s="76"/>
      <x:c r="I55" s="76"/>
      <x:c r="J55" s="76"/>
      <x:c r="K55" s="76"/>
      <x:c r="L55" s="76"/>
      <x:c r="M55" s="76"/>
      <x:c r="N55" s="76"/>
      <x:c r="O55" s="76"/>
      <x:c r="P55" s="76"/>
      <x:c r="Q55" s="76"/>
      <x:c r="R55" s="76"/>
      <x:c r="S55" s="76"/>
      <x:c r="T55" s="76"/>
    </x:row>
    <x:row r="56">
      <x:c r="A56" s="76"/>
      <x:c r="B56" s="76"/>
      <x:c r="C56" s="76"/>
      <x:c r="D56" s="76"/>
      <x:c r="E56" s="76"/>
      <x:c r="F56" s="76"/>
      <x:c r="G56" s="76"/>
      <x:c r="H56" s="76"/>
      <x:c r="I56" s="76"/>
      <x:c r="J56" s="76"/>
      <x:c r="K56" s="76"/>
      <x:c r="L56" s="76"/>
      <x:c r="M56" s="76"/>
      <x:c r="N56" s="76"/>
      <x:c r="O56" s="76"/>
      <x:c r="P56" s="76"/>
      <x:c r="Q56" s="76"/>
      <x:c r="R56" s="76"/>
      <x:c r="S56" s="76"/>
      <x:c r="T56" s="76"/>
    </x:row>
    <x:row r="57">
      <x:c r="A57" s="76"/>
      <x:c r="B57" s="76"/>
      <x:c r="C57" s="76"/>
      <x:c r="D57" s="76"/>
      <x:c r="E57" s="76"/>
      <x:c r="F57" s="76"/>
      <x:c r="G57" s="76"/>
      <x:c r="H57" s="76"/>
      <x:c r="I57" s="76"/>
      <x:c r="J57" s="76"/>
      <x:c r="K57" s="76"/>
      <x:c r="L57" s="76"/>
      <x:c r="M57" s="76"/>
      <x:c r="N57" s="76"/>
      <x:c r="O57" s="76"/>
      <x:c r="P57" s="76"/>
      <x:c r="Q57" s="76"/>
      <x:c r="R57" s="76"/>
      <x:c r="S57" s="76"/>
      <x:c r="T57" s="76"/>
    </x:row>
    <x:row r="58">
      <x:c r="A58" s="76"/>
      <x:c r="B58" s="76"/>
      <x:c r="C58" s="76"/>
      <x:c r="D58" s="76"/>
      <x:c r="E58" s="76"/>
      <x:c r="F58" s="76"/>
      <x:c r="G58" s="76"/>
      <x:c r="H58" s="76"/>
      <x:c r="I58" s="76"/>
      <x:c r="J58" s="76"/>
      <x:c r="K58" s="76"/>
      <x:c r="L58" s="76"/>
      <x:c r="M58" s="76"/>
      <x:c r="N58" s="76"/>
      <x:c r="O58" s="76"/>
      <x:c r="P58" s="76"/>
      <x:c r="Q58" s="76"/>
      <x:c r="R58" s="76"/>
      <x:c r="S58" s="76"/>
      <x:c r="T58" s="76"/>
    </x:row>
    <x:row r="59">
      <x:c r="A59" s="76"/>
      <x:c r="B59" s="76"/>
      <x:c r="C59" s="76"/>
      <x:c r="D59" s="76"/>
      <x:c r="E59" s="76"/>
      <x:c r="F59" s="76"/>
      <x:c r="G59" s="76"/>
      <x:c r="H59" s="76"/>
      <x:c r="I59" s="76"/>
      <x:c r="J59" s="76"/>
      <x:c r="K59" s="76"/>
      <x:c r="L59" s="76"/>
      <x:c r="M59" s="76"/>
      <x:c r="N59" s="76"/>
      <x:c r="O59" s="76"/>
      <x:c r="P59" s="76"/>
      <x:c r="Q59" s="76"/>
      <x:c r="R59" s="76"/>
      <x:c r="S59" s="76"/>
      <x:c r="T59" s="76"/>
    </x:row>
    <x:row r="60">
      <x:c r="A60" s="76"/>
      <x:c r="B60" s="76"/>
      <x:c r="C60" s="76"/>
      <x:c r="D60" s="76"/>
      <x:c r="E60" s="76"/>
      <x:c r="F60" s="76"/>
      <x:c r="G60" s="76"/>
      <x:c r="H60" s="76"/>
      <x:c r="I60" s="76"/>
      <x:c r="J60" s="76"/>
      <x:c r="K60" s="76"/>
      <x:c r="L60" s="76"/>
      <x:c r="M60" s="76"/>
      <x:c r="N60" s="76"/>
      <x:c r="O60" s="76"/>
      <x:c r="P60" s="76"/>
      <x:c r="Q60" s="76"/>
      <x:c r="R60" s="76"/>
      <x:c r="S60" s="76"/>
      <x:c r="T60" s="76"/>
    </x:row>
    <x:row r="61">
      <x:c r="A61" s="76"/>
      <x:c r="B61" s="76"/>
      <x:c r="C61" s="76"/>
      <x:c r="D61" s="76"/>
      <x:c r="E61" s="76"/>
      <x:c r="F61" s="76"/>
      <x:c r="G61" s="76"/>
      <x:c r="H61" s="76"/>
      <x:c r="I61" s="76"/>
      <x:c r="J61" s="76"/>
      <x:c r="K61" s="76"/>
      <x:c r="L61" s="76"/>
      <x:c r="M61" s="76"/>
      <x:c r="N61" s="76"/>
      <x:c r="O61" s="76"/>
      <x:c r="P61" s="76"/>
      <x:c r="Q61" s="76"/>
      <x:c r="R61" s="76"/>
      <x:c r="S61" s="76"/>
      <x:c r="T61" s="76"/>
    </x:row>
    <x:row r="62">
      <x:c r="A62" s="76"/>
      <x:c r="B62" s="76"/>
      <x:c r="C62" s="76"/>
      <x:c r="D62" s="76"/>
      <x:c r="E62" s="76"/>
      <x:c r="F62" s="76"/>
      <x:c r="G62" s="76"/>
      <x:c r="H62" s="76"/>
      <x:c r="I62" s="76"/>
      <x:c r="J62" s="76"/>
      <x:c r="K62" s="76"/>
      <x:c r="L62" s="76"/>
      <x:c r="M62" s="76"/>
      <x:c r="N62" s="76"/>
      <x:c r="O62" s="76"/>
      <x:c r="P62" s="76"/>
      <x:c r="Q62" s="76"/>
      <x:c r="R62" s="76"/>
      <x:c r="S62" s="76"/>
      <x:c r="T62" s="76"/>
    </x:row>
    <x:row r="63">
      <x:c r="A63" s="76"/>
      <x:c r="B63" s="76"/>
      <x:c r="C63" s="76"/>
      <x:c r="D63" s="76"/>
      <x:c r="E63" s="76"/>
      <x:c r="F63" s="76"/>
      <x:c r="G63" s="76"/>
      <x:c r="H63" s="76"/>
      <x:c r="I63" s="76"/>
      <x:c r="J63" s="76"/>
      <x:c r="K63" s="76"/>
      <x:c r="L63" s="76"/>
      <x:c r="M63" s="76"/>
      <x:c r="N63" s="76"/>
      <x:c r="O63" s="76"/>
      <x:c r="P63" s="76"/>
      <x:c r="Q63" s="76"/>
      <x:c r="R63" s="76"/>
      <x:c r="S63" s="76"/>
      <x:c r="T63" s="76"/>
    </x:row>
    <x:row r="64">
      <x:c r="A64" s="76"/>
      <x:c r="B64" s="76"/>
      <x:c r="C64" s="76"/>
      <x:c r="D64" s="76"/>
      <x:c r="E64" s="76"/>
      <x:c r="F64" s="76"/>
      <x:c r="G64" s="76"/>
      <x:c r="H64" s="76"/>
      <x:c r="I64" s="76"/>
      <x:c r="J64" s="76"/>
      <x:c r="K64" s="76"/>
      <x:c r="L64" s="76"/>
      <x:c r="M64" s="76"/>
      <x:c r="N64" s="76"/>
      <x:c r="O64" s="76"/>
      <x:c r="P64" s="76"/>
      <x:c r="Q64" s="76"/>
      <x:c r="R64" s="76"/>
      <x:c r="S64" s="76"/>
      <x:c r="T64" s="76"/>
    </x:row>
    <x:row r="65">
      <x:c r="A65" s="76"/>
      <x:c r="B65" s="76"/>
      <x:c r="C65" s="76"/>
      <x:c r="D65" s="76"/>
      <x:c r="E65" s="76"/>
      <x:c r="F65" s="76"/>
      <x:c r="G65" s="76"/>
      <x:c r="H65" s="76"/>
      <x:c r="I65" s="76"/>
      <x:c r="J65" s="76"/>
      <x:c r="K65" s="76"/>
      <x:c r="L65" s="76"/>
      <x:c r="M65" s="76"/>
      <x:c r="N65" s="76"/>
      <x:c r="O65" s="76"/>
      <x:c r="P65" s="76"/>
      <x:c r="Q65" s="76"/>
      <x:c r="R65" s="76"/>
      <x:c r="S65" s="76"/>
      <x:c r="T65" s="76"/>
    </x:row>
    <x:row r="66">
      <x:c r="A66" s="76"/>
      <x:c r="B66" s="76"/>
      <x:c r="C66" s="76"/>
      <x:c r="D66" s="76"/>
      <x:c r="E66" s="76"/>
      <x:c r="F66" s="76"/>
      <x:c r="G66" s="76"/>
      <x:c r="H66" s="76"/>
      <x:c r="I66" s="76"/>
      <x:c r="J66" s="76"/>
      <x:c r="K66" s="76"/>
      <x:c r="L66" s="76"/>
      <x:c r="M66" s="76"/>
      <x:c r="N66" s="76"/>
      <x:c r="O66" s="76"/>
      <x:c r="P66" s="76"/>
      <x:c r="Q66" s="76"/>
      <x:c r="R66" s="76"/>
      <x:c r="S66" s="76"/>
      <x:c r="T66" s="76"/>
    </x:row>
    <x:row r="67">
      <x:c r="A67" s="76"/>
      <x:c r="B67" s="76"/>
      <x:c r="C67" s="76"/>
      <x:c r="D67" s="76"/>
      <x:c r="E67" s="76"/>
      <x:c r="F67" s="76"/>
      <x:c r="G67" s="76"/>
      <x:c r="H67" s="76"/>
      <x:c r="I67" s="76"/>
      <x:c r="J67" s="76"/>
      <x:c r="K67" s="76"/>
      <x:c r="L67" s="76"/>
      <x:c r="M67" s="76"/>
      <x:c r="N67" s="76"/>
      <x:c r="O67" s="76"/>
      <x:c r="P67" s="76"/>
      <x:c r="Q67" s="76"/>
      <x:c r="R67" s="76"/>
      <x:c r="S67" s="76"/>
      <x:c r="T67" s="76"/>
    </x:row>
    <x:row r="68">
      <x:c r="A68" s="76"/>
      <x:c r="B68" s="76"/>
      <x:c r="C68" s="76"/>
      <x:c r="D68" s="76"/>
      <x:c r="E68" s="76"/>
      <x:c r="F68" s="76"/>
      <x:c r="G68" s="76"/>
      <x:c r="H68" s="76"/>
      <x:c r="I68" s="76"/>
      <x:c r="J68" s="76"/>
      <x:c r="K68" s="76"/>
      <x:c r="L68" s="76"/>
      <x:c r="M68" s="76"/>
      <x:c r="N68" s="76"/>
      <x:c r="O68" s="76"/>
      <x:c r="P68" s="76"/>
      <x:c r="Q68" s="76"/>
      <x:c r="R68" s="76"/>
      <x:c r="S68" s="76"/>
      <x:c r="T68" s="76"/>
    </x:row>
    <x:row r="69">
      <x:c r="A69" s="76"/>
      <x:c r="B69" s="76"/>
      <x:c r="C69" s="76"/>
      <x:c r="D69" s="76"/>
      <x:c r="E69" s="76"/>
      <x:c r="F69" s="76"/>
      <x:c r="G69" s="76"/>
      <x:c r="H69" s="76"/>
      <x:c r="I69" s="76"/>
      <x:c r="J69" s="76"/>
      <x:c r="K69" s="76"/>
      <x:c r="L69" s="76"/>
      <x:c r="M69" s="76"/>
      <x:c r="N69" s="76"/>
      <x:c r="O69" s="76"/>
      <x:c r="P69" s="76"/>
      <x:c r="Q69" s="76"/>
      <x:c r="R69" s="76"/>
      <x:c r="S69" s="76"/>
      <x:c r="T69" s="76"/>
    </x:row>
    <x:row r="70">
      <x:c r="A70" s="76"/>
      <x:c r="B70" s="76"/>
      <x:c r="C70" s="76"/>
      <x:c r="D70" s="76"/>
      <x:c r="E70" s="76"/>
      <x:c r="F70" s="76"/>
      <x:c r="G70" s="76"/>
      <x:c r="H70" s="76"/>
      <x:c r="I70" s="76"/>
      <x:c r="J70" s="76"/>
      <x:c r="K70" s="76"/>
      <x:c r="L70" s="76"/>
      <x:c r="M70" s="76"/>
      <x:c r="N70" s="76"/>
      <x:c r="O70" s="76"/>
      <x:c r="P70" s="76"/>
      <x:c r="Q70" s="76"/>
      <x:c r="R70" s="76"/>
      <x:c r="S70" s="76"/>
      <x:c r="T70" s="76"/>
    </x:row>
    <x:row r="71">
      <x:c r="A71" s="76"/>
      <x:c r="B71" s="76"/>
      <x:c r="C71" s="76"/>
      <x:c r="D71" s="76"/>
      <x:c r="E71" s="76"/>
      <x:c r="F71" s="76"/>
      <x:c r="G71" s="76"/>
      <x:c r="H71" s="76"/>
      <x:c r="I71" s="76"/>
      <x:c r="J71" s="76"/>
      <x:c r="K71" s="76"/>
      <x:c r="L71" s="76"/>
      <x:c r="M71" s="76"/>
      <x:c r="N71" s="76"/>
      <x:c r="O71" s="76"/>
      <x:c r="P71" s="76"/>
      <x:c r="Q71" s="76"/>
      <x:c r="R71" s="76"/>
      <x:c r="S71" s="76"/>
      <x:c r="T71" s="76"/>
    </x:row>
    <x:row r="72">
      <x:c r="A72" s="76"/>
      <x:c r="B72" s="76"/>
      <x:c r="C72" s="76"/>
      <x:c r="D72" s="76"/>
      <x:c r="E72" s="76"/>
      <x:c r="F72" s="76"/>
      <x:c r="G72" s="76"/>
      <x:c r="H72" s="76"/>
      <x:c r="I72" s="76"/>
      <x:c r="J72" s="76"/>
      <x:c r="K72" s="76"/>
      <x:c r="L72" s="76"/>
      <x:c r="M72" s="76"/>
      <x:c r="N72" s="76"/>
      <x:c r="O72" s="76"/>
      <x:c r="P72" s="76"/>
      <x:c r="Q72" s="76"/>
      <x:c r="R72" s="76"/>
      <x:c r="S72" s="76"/>
      <x:c r="T72" s="76"/>
    </x:row>
    <x:row r="73">
      <x:c r="A73" s="76"/>
      <x:c r="B73" s="76"/>
      <x:c r="C73" s="76"/>
      <x:c r="D73" s="76"/>
      <x:c r="E73" s="76"/>
      <x:c r="F73" s="76"/>
      <x:c r="G73" s="76"/>
      <x:c r="H73" s="76"/>
      <x:c r="I73" s="76"/>
      <x:c r="J73" s="76"/>
      <x:c r="K73" s="76"/>
      <x:c r="L73" s="76"/>
      <x:c r="M73" s="76"/>
      <x:c r="N73" s="76"/>
      <x:c r="O73" s="76"/>
      <x:c r="P73" s="76"/>
      <x:c r="Q73" s="76"/>
      <x:c r="R73" s="76"/>
      <x:c r="S73" s="76"/>
      <x:c r="T73" s="76"/>
    </x:row>
    <x:row r="74">
      <x:c r="A74" s="76"/>
      <x:c r="B74" s="76"/>
      <x:c r="C74" s="76"/>
      <x:c r="D74" s="76"/>
      <x:c r="E74" s="76"/>
      <x:c r="F74" s="76"/>
      <x:c r="G74" s="76"/>
      <x:c r="H74" s="76"/>
      <x:c r="I74" s="76"/>
      <x:c r="J74" s="76"/>
      <x:c r="K74" s="76"/>
      <x:c r="L74" s="76"/>
      <x:c r="M74" s="76"/>
      <x:c r="N74" s="76"/>
      <x:c r="O74" s="76"/>
      <x:c r="P74" s="76"/>
      <x:c r="Q74" s="76"/>
      <x:c r="R74" s="76"/>
      <x:c r="S74" s="76"/>
      <x:c r="T74" s="76"/>
    </x:row>
    <x:row r="75">
      <x:c r="A75" s="76"/>
      <x:c r="B75" s="76"/>
      <x:c r="C75" s="76"/>
      <x:c r="D75" s="76"/>
      <x:c r="E75" s="76"/>
      <x:c r="F75" s="76"/>
      <x:c r="G75" s="76"/>
      <x:c r="H75" s="76"/>
      <x:c r="I75" s="76"/>
      <x:c r="J75" s="76"/>
      <x:c r="K75" s="76"/>
      <x:c r="L75" s="76"/>
      <x:c r="M75" s="76"/>
      <x:c r="N75" s="76"/>
      <x:c r="O75" s="76"/>
      <x:c r="P75" s="76"/>
      <x:c r="Q75" s="76"/>
      <x:c r="R75" s="76"/>
      <x:c r="S75" s="76"/>
      <x:c r="T75" s="76"/>
    </x:row>
    <x:row r="76">
      <x:c r="A76" s="76"/>
      <x:c r="B76" s="76"/>
      <x:c r="C76" s="76"/>
      <x:c r="D76" s="76"/>
      <x:c r="E76" s="76"/>
      <x:c r="F76" s="76"/>
      <x:c r="G76" s="76"/>
      <x:c r="H76" s="76"/>
      <x:c r="I76" s="76"/>
      <x:c r="J76" s="76"/>
      <x:c r="K76" s="76"/>
      <x:c r="L76" s="76"/>
      <x:c r="M76" s="76"/>
      <x:c r="N76" s="76"/>
      <x:c r="O76" s="76"/>
      <x:c r="P76" s="76"/>
      <x:c r="Q76" s="76"/>
      <x:c r="R76" s="76"/>
      <x:c r="S76" s="76"/>
      <x:c r="T76" s="76"/>
    </x:row>
    <x:row r="77">
      <x:c r="A77" s="76"/>
      <x:c r="B77" s="76"/>
      <x:c r="C77" s="76"/>
      <x:c r="D77" s="76"/>
      <x:c r="E77" s="76"/>
      <x:c r="F77" s="76"/>
      <x:c r="G77" s="76"/>
      <x:c r="H77" s="76"/>
      <x:c r="I77" s="76"/>
      <x:c r="J77" s="76"/>
      <x:c r="K77" s="76"/>
      <x:c r="L77" s="76"/>
      <x:c r="M77" s="76"/>
      <x:c r="N77" s="76"/>
      <x:c r="O77" s="76"/>
      <x:c r="P77" s="76"/>
      <x:c r="Q77" s="76"/>
      <x:c r="R77" s="76"/>
      <x:c r="S77" s="76"/>
      <x:c r="T77" s="76"/>
    </x:row>
    <x:row r="78">
      <x:c r="A78" s="76"/>
      <x:c r="B78" s="76"/>
      <x:c r="C78" s="76"/>
      <x:c r="D78" s="76"/>
      <x:c r="E78" s="76"/>
      <x:c r="F78" s="76"/>
      <x:c r="G78" s="76"/>
      <x:c r="H78" s="76"/>
      <x:c r="I78" s="76"/>
      <x:c r="J78" s="76"/>
      <x:c r="K78" s="76"/>
      <x:c r="L78" s="76"/>
      <x:c r="M78" s="76"/>
      <x:c r="N78" s="76"/>
      <x:c r="O78" s="76"/>
      <x:c r="P78" s="76"/>
      <x:c r="Q78" s="76"/>
      <x:c r="R78" s="76"/>
      <x:c r="S78" s="76"/>
      <x:c r="T78" s="76"/>
    </x:row>
    <x:row r="79">
      <x:c r="A79" s="76"/>
      <x:c r="B79" s="76"/>
      <x:c r="C79" s="76"/>
      <x:c r="D79" s="76"/>
      <x:c r="E79" s="76"/>
      <x:c r="F79" s="76"/>
      <x:c r="G79" s="76"/>
      <x:c r="H79" s="76"/>
      <x:c r="I79" s="76"/>
      <x:c r="J79" s="76"/>
      <x:c r="K79" s="76"/>
      <x:c r="L79" s="76"/>
      <x:c r="M79" s="76"/>
      <x:c r="N79" s="76"/>
      <x:c r="O79" s="76"/>
      <x:c r="P79" s="76"/>
      <x:c r="Q79" s="76"/>
      <x:c r="R79" s="76"/>
      <x:c r="S79" s="76"/>
      <x:c r="T79" s="76"/>
    </x:row>
    <x:row r="80">
      <x:c r="A80" s="76"/>
      <x:c r="B80" s="76"/>
      <x:c r="C80" s="76"/>
      <x:c r="D80" s="76"/>
      <x:c r="E80" s="76"/>
      <x:c r="F80" s="76"/>
      <x:c r="G80" s="76"/>
      <x:c r="H80" s="76"/>
      <x:c r="I80" s="76"/>
      <x:c r="J80" s="76"/>
      <x:c r="K80" s="76"/>
      <x:c r="L80" s="76"/>
      <x:c r="M80" s="76"/>
      <x:c r="N80" s="76"/>
      <x:c r="O80" s="76"/>
      <x:c r="P80" s="76"/>
      <x:c r="Q80" s="76"/>
      <x:c r="R80" s="76"/>
      <x:c r="S80" s="76"/>
      <x:c r="T80" s="76"/>
    </x:row>
  </x:sheetData>
  <x:mergeCells>
    <x:mergeCell ref="A1:G1"/>
    <x:mergeCell ref="J3:K3"/>
    <x:mergeCell ref="M3:N3"/>
    <x:mergeCell ref="P3:T3"/>
    <x:mergeCell ref="A22:G22"/>
    <x:mergeCell ref="A37:G37"/>
    <x:mergeCell ref="A38:G40"/>
  </x:mergeCells>
  <x:pageMargins left="0.7" right="0.7" top="0.75" bottom="0.75" header="0.3" footer="0.3"/>
</x:worksheet>
</file>